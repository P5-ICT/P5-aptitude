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00759a7ab4e4696" /></Relationships>
</file>

<file path=xl/workbook.xml><?xml version="1.0" encoding="utf-8"?>
<x:workbook xmlns:x="http://schemas.openxmlformats.org/spreadsheetml/2006/main">
  <x:sheets>
    <x:sheet xmlns:r="http://schemas.openxmlformats.org/officeDocument/2006/relationships" name="Role Families" sheetId="1" r:id="Ra753fbc9fdd84d68"/>
    <x:sheet xmlns:r="http://schemas.openxmlformats.org/officeDocument/2006/relationships" name="Weighting Matrix" sheetId="2" r:id="Ra58be938f9c64a2e"/>
    <x:sheet xmlns:r="http://schemas.openxmlformats.org/officeDocument/2006/relationships" name="Questions" sheetId="3" r:id="Rd3d773972f184f0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i/>
      <x:sz val="10"/>
      <x:color rgb="FF1F2937"/>
      <x:name val="Carlito"/>
    </x:font>
    <x:font>
      <x:b/>
      <x:sz val="10"/>
      <x:color rgb="FFFFFFFF"/>
      <x:name val="Carlito"/>
    </x:font>
    <x:font>
      <x:sz val="10"/>
      <x:color rgb="FF1F2937"/>
      <x:name val="Carlito"/>
    </x:font>
    <x:font>
      <x:b/>
      <x:sz val="12"/>
      <x:color rgb="FFFFFFFF"/>
      <x:name val="Carlito"/>
    </x:font>
  </x:fonts>
  <x:fills count="7">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F3F6F9"/>
      </x:patternFill>
    </x:fill>
    <x:fill>
      <x:patternFill patternType="solid">
        <x:fgColor rgb="FF138A9A"/>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0" borderId="0" xfId="0" applyNumberFormat="1" applyFont="1" applyFill="1" applyBorder="1" applyAlignment="1">
      <x:alignment horizontal="center" vertical="top" wrapText="1"/>
    </x:xf>
    <x:xf numFmtId="0" fontId="4" fillId="5" borderId="0"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4" fillId="5" borderId="1" xfId="0" applyNumberFormat="1" applyFont="1" applyFill="1" applyBorder="1" applyAlignment="1">
      <x:alignment horizontal="center" vertical="top" wrapText="1"/>
    </x:xf>
  </x:cellXfs>
  <x:cellStyles count="1">
    <x:cellStyle name="Normal" xfId="0"/>
  </x:cellStyles>
  <x:dxfs count="4">
    <x:dxf>
      <x:font>
        <x:b/>
        <x:color rgb="FF9C0006"/>
      </x:font>
      <x:fill>
        <x:patternFill patternType="solid">
          <x:bgColor rgb="FFF4CCCC"/>
        </x:patternFill>
      </x:fill>
    </x:dxf>
    <x:dxf>
      <x:fill>
        <x:patternFill patternType="solid">
          <x:bgColor rgb="FFE2F0D9"/>
        </x:patternFill>
      </x:fill>
    </x:dxf>
    <x:dxf>
      <x:fill>
        <x:patternFill patternType="solid">
          <x:bgColor rgb="FFD9EAF7"/>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ff05a167824d00" /><Relationship Type="http://schemas.openxmlformats.org/officeDocument/2006/relationships/theme" Target="/xl/theme/theme1.xml" Id="R1d1e2b437e4348d8" /><Relationship Type="http://schemas.openxmlformats.org/officeDocument/2006/relationships/sharedStrings" Target="/xl/sharedStrings.xml" Id="R17e63d3dfb1e4996" /><Relationship Type="http://schemas.openxmlformats.org/officeDocument/2006/relationships/worksheet" Target="/xl/worksheets/sheet1.xml" Id="Ra753fbc9fdd84d68" /><Relationship Type="http://schemas.openxmlformats.org/officeDocument/2006/relationships/worksheet" Target="/xl/worksheets/sheet2.xml" Id="Ra58be938f9c64a2e" /><Relationship Type="http://schemas.openxmlformats.org/officeDocument/2006/relationships/worksheet" Target="/xl/worksheets/sheet3.xml" Id="Rd3d773972f184f0f" /></Relationships>
</file>

<file path=xl/tables/table1.xml><?xml version="1.0" encoding="utf-8"?>
<x:table xmlns:x="http://schemas.openxmlformats.org/spreadsheetml/2006/main" id="1" name="RoleFamiliesTable" displayName="RoleFamiliesTable" ref="A4:F16" headerRowCount="1">
  <x:tableColumns count="6">
    <x:tableColumn id="1" name="Role ID"/>
    <x:tableColumn id="2" name="Role Family"/>
    <x:tableColumn id="3" name="What This Pathway Covers"/>
    <x:tableColumn id="4" name="Example Entry Roles"/>
    <x:tableColumn id="5" name="Three Highest-Weighted Competencies"/>
    <x:tableColumn id="6" name="Recommendation Output"/>
  </x:tableColumns>
  <x:tableStyleInfo name="TableStyleMedium2" showRowStripes="1"/>
</x:table>
</file>

<file path=xl/tables/table2.xml><?xml version="1.0" encoding="utf-8"?>
<x:table xmlns:x="http://schemas.openxmlformats.org/spreadsheetml/2006/main" id="2" name="WeightingMatrixTable" displayName="WeightingMatrixTable" ref="A4:M16" headerRowCount="1">
  <x:tableColumns count="13">
    <x:tableColumn id="1" name="Role ID"/>
    <x:tableColumn id="2" name="Role Family"/>
    <x:tableColumn id="3" name="C01"/>
    <x:tableColumn id="4" name="C02"/>
    <x:tableColumn id="5" name="C03"/>
    <x:tableColumn id="6" name="C04"/>
    <x:tableColumn id="7" name="C05"/>
    <x:tableColumn id="8" name="C06"/>
    <x:tableColumn id="9" name="C07"/>
    <x:tableColumn id="10" name="C08"/>
    <x:tableColumn id="11" name="C09"/>
    <x:tableColumn id="12" name="C10"/>
    <x:tableColumn id="13" name="Total"/>
  </x:tableColumns>
  <x:tableStyleInfo name="TableStyleMedium2" showRowStripes="1"/>
</x:table>
</file>

<file path=xl/tables/table3.xml><?xml version="1.0" encoding="utf-8"?>
<x:table xmlns:x="http://schemas.openxmlformats.org/spreadsheetml/2006/main" id="3" name="QuestionsTable" displayName="QuestionsTable" ref="A4:M88" headerRowCount="1">
  <x:tableColumns count="13">
    <x:tableColumn id="1" name="Question ID"/>
    <x:tableColumn id="2" name="Order"/>
    <x:tableColumn id="3" name="Section"/>
    <x:tableColumn id="4" name="Question"/>
    <x:tableColumn id="5" name="Response Type"/>
    <x:tableColumn id="6" name="Scoring Type"/>
    <x:tableColumn id="7" name="Primary Competency"/>
    <x:tableColumn id="8" name="Secondary Competency"/>
    <x:tableColumn id="9" name="Answer Options"/>
    <x:tableColumn id="10" name="Scoring / Mapping Key"/>
    <x:tableColumn id="11" name="Max Score"/>
    <x:tableColumn id="12" name="Required"/>
    <x:tableColumn id="13"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c21feaf7d674750" /></Relationships>
</file>

<file path=xl/worksheets/_rels/sheet2.xml.rels>&#65279;<?xml version="1.0" encoding="utf-8"?><Relationships xmlns="http://schemas.openxmlformats.org/package/2006/relationships"><Relationship Type="http://schemas.openxmlformats.org/officeDocument/2006/relationships/table" Target="/xl/tables/table2.xml" Id="R6dba63d340fc4317" /></Relationships>
</file>

<file path=xl/worksheets/_rels/sheet3.xml.rels>&#65279;<?xml version="1.0" encoding="utf-8"?><Relationships xmlns="http://schemas.openxmlformats.org/package/2006/relationships"><Relationship Type="http://schemas.openxmlformats.org/officeDocument/2006/relationships/table" Target="/xl/tables/table3.xml" Id="R7dc93deef0674205" /></Relationships>
</file>

<file path=xl/worksheets/sheet1.xml><?xml version="1.0" encoding="utf-8"?>
<x:worksheet xmlns:x="http://schemas.openxmlformats.org/spreadsheetml/2006/main">
  <x:sheetFormatPr defaultRowHeight="15"/>
  <x:cols>
    <x:col min="1" max="1" width="10" hidden="0" customWidth="1"/>
    <x:col min="2" max="2" width="28" hidden="0" customWidth="1"/>
    <x:col min="3" max="3" width="42" hidden="0" customWidth="1"/>
    <x:col min="4" max="4" width="38" hidden="0" customWidth="1"/>
    <x:col min="5" max="5" width="36" hidden="0" customWidth="1"/>
    <x:col min="6" max="6" width="38" hidden="0" customWidth="1"/>
  </x:cols>
  <x:sheetData>
    <x:row r="1" ht="28" customHeight="1">
      <x:c r="A1" s="5" t="str">
        <x:v>PILLAR 5 | APTITUDE TEST — ROLE FAMILIES</x:v>
      </x:c>
      <x:c r="B1" s="5"/>
      <x:c r="C1" s="5"/>
      <x:c r="D1" s="5"/>
      <x:c r="E1" s="5"/>
      <x:c r="F1" s="5"/>
    </x:row>
    <x:row r="2" ht="32" customHeight="1">
      <x:c r="A2" s="12" t="str">
        <x:v>The assessment ranks participants against these 12 broad pathways. Entrepreneurship and Business Ownership is treated as a full role family.</x:v>
      </x:c>
      <x:c r="B2" s="12"/>
      <x:c r="C2" s="12"/>
      <x:c r="D2" s="12"/>
      <x:c r="E2" s="12"/>
      <x:c r="F2" s="12"/>
    </x:row>
    <x:row r="4" ht="36" customHeight="1">
      <x:c r="A4" s="20" t="str">
        <x:v>Role ID</x:v>
      </x:c>
      <x:c r="B4" s="20" t="str">
        <x:v>Role Family</x:v>
      </x:c>
      <x:c r="C4" s="20" t="str">
        <x:v>What This Pathway Covers</x:v>
      </x:c>
      <x:c r="D4" s="20" t="str">
        <x:v>Example Entry Roles</x:v>
      </x:c>
      <x:c r="E4" s="20" t="str">
        <x:v>Three Highest-Weighted Competencies</x:v>
      </x:c>
      <x:c r="F4" s="20" t="str">
        <x:v>Recommendation Output</x:v>
      </x:c>
    </x:row>
    <x:row r="5" ht="72" customHeight="1">
      <x:c r="A5" s="28" t="str">
        <x:v>AO</x:v>
      </x:c>
      <x:c r="B5" s="28" t="str">
        <x:v>Administration and Operations</x:v>
      </x:c>
      <x:c r="C5" s="28" t="str">
        <x:v>Structured support, records, scheduling and process execution.</x:v>
      </x:c>
      <x:c r="D5" s="28" t="str">
        <x:v>Administrative Assistant; Office Administrator; Operations Assistant; Records Clerk; Data Capturer</x:v>
      </x:c>
      <x:c r="E5" s="28" t="str">
        <x:v>Organisation and Attention to Detail (25%)
Problem-Solving (15%)
Analytical and Numerical Ability (10%)</x:v>
      </x:c>
      <x:c r="F5" s="28" t="str">
        <x:v>Role-fit score, reasons for fit, development gaps and suggested next steps.</x:v>
      </x:c>
    </x:row>
    <x:row r="6" ht="72" customHeight="1">
      <x:c r="A6" s="32" t="str">
        <x:v>FA</x:v>
      </x:c>
      <x:c r="B6" s="32" t="str">
        <x:v>Finance and Accounting</x:v>
      </x:c>
      <x:c r="C6" s="32" t="str">
        <x:v>Numerical accuracy, transaction processing, budgeting and financial administration.</x:v>
      </x:c>
      <x:c r="D6" s="32" t="str">
        <x:v>Accounts Clerk; Finance Administrator; Bookkeeping Assistant; Payroll Assistant; Creditors/Debtors Clerk</x:v>
      </x:c>
      <x:c r="E6" s="32" t="str">
        <x:v>Analytical and Numerical Ability (25%)
Organisation and Attention to Detail (25%)
Digital and Technical Ability (10%)</x:v>
      </x:c>
      <x:c r="F6" s="32" t="str">
        <x:v>Role-fit score, reasons for fit, development gaps and suggested next steps.</x:v>
      </x:c>
    </x:row>
    <x:row r="7" ht="72" customHeight="1">
      <x:c r="A7" s="28" t="str">
        <x:v>DA</x:v>
      </x:c>
      <x:c r="B7" s="28" t="str">
        <x:v>Data and Analytics</x:v>
      </x:c>
      <x:c r="C7" s="28" t="str">
        <x:v>Data cleaning, interpretation, reporting and evidence-based insight.</x:v>
      </x:c>
      <x:c r="D7" s="28" t="str">
        <x:v>Data Capturer; Junior Data Analyst; Reporting Assistant; Data Quality Assistant; Research Assistant</x:v>
      </x:c>
      <x:c r="E7" s="28" t="str">
        <x:v>Analytical and Numerical Ability (20%)
Digital and Technical Ability (20%)
Organisation and Attention to Detail (20%)</x:v>
      </x:c>
      <x:c r="F7" s="28" t="str">
        <x:v>Role-fit score, reasons for fit, development gaps and suggested next steps.</x:v>
      </x:c>
    </x:row>
    <x:row r="8" ht="72" customHeight="1">
      <x:c r="A8" s="32" t="str">
        <x:v>IT</x:v>
      </x:c>
      <x:c r="B8" s="32" t="str">
        <x:v>IT and Technical Support</x:v>
      </x:c>
      <x:c r="C8" s="32" t="str">
        <x:v>Digital troubleshooting, systems support and user assistance.</x:v>
      </x:c>
      <x:c r="D8" s="32" t="str">
        <x:v>IT Support Assistant; Help Desk Intern; Hardware Support Assistant; Junior Systems Support; Network Support Intern</x:v>
      </x:c>
      <x:c r="E8" s="32" t="str">
        <x:v>Digital and Technical Ability (25%)
Problem-Solving (25%)
Communication (15%)</x:v>
      </x:c>
      <x:c r="F8" s="32" t="str">
        <x:v>Role-fit score, reasons for fit, development gaps and suggested next steps.</x:v>
      </x:c>
    </x:row>
    <x:row r="9" ht="72" customHeight="1">
      <x:c r="A9" s="28" t="str">
        <x:v>MC</x:v>
      </x:c>
      <x:c r="B9" s="28" t="str">
        <x:v>Marketing and Communications</x:v>
      </x:c>
      <x:c r="C9" s="28" t="str">
        <x:v>Content, messaging, audience engagement and campaign support.</x:v>
      </x:c>
      <x:c r="D9" s="28" t="str">
        <x:v>Marketing Assistant; Social Media Assistant; Content Assistant; Communications Intern; Brand Assistant</x:v>
      </x:c>
      <x:c r="E9" s="28" t="str">
        <x:v>Communication (20%)
Commercial and Entrepreneurial Thinking (15%)
Digital and Technical Ability (10%)</x:v>
      </x:c>
      <x:c r="F9" s="28" t="str">
        <x:v>Role-fit score, reasons for fit, development gaps and suggested next steps.</x:v>
      </x:c>
    </x:row>
    <x:row r="10" ht="72" customHeight="1">
      <x:c r="A10" s="32" t="str">
        <x:v>SC</x:v>
      </x:c>
      <x:c r="B10" s="32" t="str">
        <x:v>Sales and Customer Service</x:v>
      </x:c>
      <x:c r="C10" s="32" t="str">
        <x:v>Customer engagement, persuasion, service recovery and relationship management.</x:v>
      </x:c>
      <x:c r="D10" s="32" t="str">
        <x:v>Sales Consultant; Customer Service Agent; Client Liaison; Call Centre Agent; Account Support Assistant</x:v>
      </x:c>
      <x:c r="E10" s="32" t="str">
        <x:v>Communication (25%)
People and Teamwork (15%)
Problem-Solving (10%)</x:v>
      </x:c>
      <x:c r="F10" s="32" t="str">
        <x:v>Role-fit score, reasons for fit, development gaps and suggested next steps.</x:v>
      </x:c>
    </x:row>
    <x:row r="11" ht="72" customHeight="1">
      <x:c r="A11" s="28" t="str">
        <x:v>PC</x:v>
      </x:c>
      <x:c r="B11" s="28" t="str">
        <x:v>Project Coordination</x:v>
      </x:c>
      <x:c r="C11" s="28" t="str">
        <x:v>Planning, tracking, deadlines, resources and cross-team coordination.</x:v>
      </x:c>
      <x:c r="D11" s="28" t="str">
        <x:v>Project Administrator; Project Coordinator; Programme Assistant; Implementation Assistant; Operations Coordinator</x:v>
      </x:c>
      <x:c r="E11" s="28" t="str">
        <x:v>Organisation and Attention to Detail (20%)
Communication (15%)
Problem-Solving (15%)</x:v>
      </x:c>
      <x:c r="F11" s="28" t="str">
        <x:v>Role-fit score, reasons for fit, development gaps and suggested next steps.</x:v>
      </x:c>
    </x:row>
    <x:row r="12" ht="72" customHeight="1">
      <x:c r="A12" s="32" t="str">
        <x:v>HR</x:v>
      </x:c>
      <x:c r="B12" s="32" t="str">
        <x:v>Human Resources and People Support</x:v>
      </x:c>
      <x:c r="C12" s="32" t="str">
        <x:v>Recruitment, onboarding, training, employee support and fair people processes.</x:v>
      </x:c>
      <x:c r="D12" s="32" t="str">
        <x:v>HR Assistant; Recruitment Administrator; Training Coordinator; People Operations Intern; Employee Support Assistant</x:v>
      </x:c>
      <x:c r="E12" s="32" t="str">
        <x:v>Communication (20%)
People and Teamwork (20%)
Conflict Management and Emotional Regulation (15%)</x:v>
      </x:c>
      <x:c r="F12" s="32" t="str">
        <x:v>Role-fit score, reasons for fit, development gaps and suggested next steps.</x:v>
      </x:c>
    </x:row>
    <x:row r="13" ht="72" customHeight="1">
      <x:c r="A13" s="28" t="str">
        <x:v>BD</x:v>
      </x:c>
      <x:c r="B13" s="28" t="str">
        <x:v>Business Development</x:v>
      </x:c>
      <x:c r="C13" s="28" t="str">
        <x:v>Opportunity research, partnerships, proposals and growth support.</x:v>
      </x:c>
      <x:c r="D13" s="28" t="str">
        <x:v>Business Development Assistant; Partnerships Assistant; Market Research Assistant; Client Acquisition Assistant; Proposal Assistant</x:v>
      </x:c>
      <x:c r="E13" s="28" t="str">
        <x:v>Communication (20%)
Commercial and Entrepreneurial Thinking (15%)
Analytical and Numerical Ability (10%)</x:v>
      </x:c>
      <x:c r="F13" s="28" t="str">
        <x:v>Role-fit score, reasons for fit, development gaps and suggested next steps.</x:v>
      </x:c>
    </x:row>
    <x:row r="14" ht="72" customHeight="1">
      <x:c r="A14" s="32" t="str">
        <x:v>EN</x:v>
      </x:c>
      <x:c r="B14" s="32" t="str">
        <x:v>Entrepreneurship and Business Ownership</x:v>
      </x:c>
      <x:c r="C14" s="32" t="str">
        <x:v>Opportunity creation, commercial judgement, resilience and independent execution.</x:v>
      </x:c>
      <x:c r="D14" s="32" t="str">
        <x:v>Entrepreneur; Small Business Owner; Freelancer; Start-up Founder; Social Entrepreneur; Independent Consultant</x:v>
      </x:c>
      <x:c r="E14" s="32" t="str">
        <x:v>Problem-Solving (15%)
Leadership and Decision-Making (15%)
Initiative, Creativity and Adaptability (15%)</x:v>
      </x:c>
      <x:c r="F14" s="32" t="str">
        <x:v>Entrepreneurial readiness level, strengths, risks, support needs and business-development next steps.</x:v>
      </x:c>
    </x:row>
    <x:row r="15" ht="72" customHeight="1">
      <x:c r="A15" s="28" t="str">
        <x:v>LS</x:v>
      </x:c>
      <x:c r="B15" s="28" t="str">
        <x:v>Leadership and Supervision</x:v>
      </x:c>
      <x:c r="C15" s="28" t="str">
        <x:v>Accountability, delegation, performance support and team direction.</x:v>
      </x:c>
      <x:c r="D15" s="28" t="str">
        <x:v>Team Leader; Supervisor; Shift Leader; Programme Coordinator; Junior Manager</x:v>
      </x:c>
      <x:c r="E15" s="28" t="str">
        <x:v>Leadership and Decision-Making (20%)
Communication (15%)
People and Teamwork (15%)</x:v>
      </x:c>
      <x:c r="F15" s="28" t="str">
        <x:v>Role-fit score, reasons for fit, development gaps and suggested next steps.</x:v>
      </x:c>
    </x:row>
    <x:row r="16" ht="72" customHeight="1">
      <x:c r="A16" s="32" t="str">
        <x:v>PT</x:v>
      </x:c>
      <x:c r="B16" s="32" t="str">
        <x:v>Practical and Technical Work</x:v>
      </x:c>
      <x:c r="C16" s="32" t="str">
        <x:v>Hands-on installation, maintenance, repair and safe technical execution.</x:v>
      </x:c>
      <x:c r="D16" s="32" t="str">
        <x:v>Technician Assistant; Maintenance Assistant; Installation Assistant; Trade Apprentice; Equipment Operator</x:v>
      </x:c>
      <x:c r="E16" s="32" t="str">
        <x:v>Problem-Solving (25%)
Digital and Technical Ability (20%)
Organisation and Attention to Detail (15%)</x:v>
      </x:c>
      <x:c r="F16" s="32" t="str">
        <x:v>Role-fit score, reasons for fit, development gaps and suggested next steps.</x:v>
      </x:c>
    </x:row>
  </x:sheetData>
  <x:mergeCells>
    <x:mergeCell ref="A1:F1"/>
    <x:mergeCell ref="A2:F2"/>
  </x:mergeCells>
  <x:pageMargins left="0.7" right="0.7" top="0.75" bottom="0.75" header="0.3" footer="0.3"/>
  <x:tableParts count="1">
    <x:tablePart xmlns:r="http://schemas.openxmlformats.org/officeDocument/2006/relationships" r:id="R5c21feaf7d674750"/>
  </x:tableParts>
</x:worksheet>
</file>

<file path=xl/worksheets/sheet2.xml><?xml version="1.0" encoding="utf-8"?>
<x:worksheet xmlns:x="http://schemas.openxmlformats.org/spreadsheetml/2006/main">
  <x:sheetFormatPr defaultRowHeight="15"/>
  <x:cols>
    <x:col min="1" max="1" width="10" hidden="0" customWidth="1"/>
    <x:col min="2" max="2" width="31" hidden="0" customWidth="1"/>
    <x:col min="3" max="3" width="9"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10" hidden="0" customWidth="1"/>
  </x:cols>
  <x:sheetData>
    <x:row r="1" ht="28" customHeight="1">
      <x:c r="A1" s="5" t="str">
        <x:v>PILLAR 5 | ROLE-TO-COMPETENCY WEIGHTING MATRIX</x:v>
      </x:c>
      <x:c r="B1" s="5"/>
      <x:c r="C1" s="5"/>
      <x:c r="D1" s="5"/>
      <x:c r="E1" s="5"/>
      <x:c r="F1" s="5"/>
      <x:c r="G1" s="5"/>
      <x:c r="H1" s="5"/>
      <x:c r="I1" s="5"/>
      <x:c r="J1" s="5"/>
      <x:c r="K1" s="5"/>
      <x:c r="L1" s="5"/>
      <x:c r="M1" s="5"/>
    </x:row>
    <x:row r="2" ht="28" customHeight="1">
      <x:c r="A2" s="12" t="str">
        <x:v>Each role totals 100%. Higher percentages mean that the competency contributes more strongly to that role's fit score.</x:v>
      </x:c>
      <x:c r="B2" s="12"/>
      <x:c r="C2" s="12"/>
      <x:c r="D2" s="12"/>
      <x:c r="E2" s="12"/>
      <x:c r="F2" s="12"/>
      <x:c r="G2" s="12"/>
      <x:c r="H2" s="12"/>
      <x:c r="I2" s="12"/>
      <x:c r="J2" s="12"/>
      <x:c r="K2" s="12"/>
      <x:c r="L2" s="12"/>
      <x:c r="M2" s="12"/>
    </x:row>
    <x:row r="4" ht="38" customHeight="1">
      <x:c r="A4" s="20" t="str">
        <x:v>Role ID</x:v>
      </x:c>
      <x:c r="B4" s="20" t="str">
        <x:v>Role Family</x:v>
      </x:c>
      <x:c r="C4" s="20" t="str">
        <x:v>C01</x:v>
      </x:c>
      <x:c r="D4" s="20" t="str">
        <x:v>C02</x:v>
      </x:c>
      <x:c r="E4" s="20" t="str">
        <x:v>C03</x:v>
      </x:c>
      <x:c r="F4" s="20" t="str">
        <x:v>C04</x:v>
      </x:c>
      <x:c r="G4" s="20" t="str">
        <x:v>C05</x:v>
      </x:c>
      <x:c r="H4" s="20" t="str">
        <x:v>C06</x:v>
      </x:c>
      <x:c r="I4" s="20" t="str">
        <x:v>C07</x:v>
      </x:c>
      <x:c r="J4" s="20" t="str">
        <x:v>C08</x:v>
      </x:c>
      <x:c r="K4" s="20" t="str">
        <x:v>C09</x:v>
      </x:c>
      <x:c r="L4" s="20" t="str">
        <x:v>C10</x:v>
      </x:c>
      <x:c r="M4" s="20" t="str">
        <x:v>Total</x:v>
      </x:c>
    </x:row>
    <x:row r="5" ht="28" customHeight="1">
      <x:c r="A5" s="28" t="str">
        <x:v>AO</x:v>
      </x:c>
      <x:c r="B5" s="28" t="str">
        <x:v>Administration and Operations</x:v>
      </x:c>
      <x:c r="C5" s="34" t="n">
        <x:v>0.1</x:v>
      </x:c>
      <x:c r="D5" s="34" t="n">
        <x:v>0.1</x:v>
      </x:c>
      <x:c r="E5" s="34" t="n">
        <x:v>0.1</x:v>
      </x:c>
      <x:c r="F5" s="34" t="n">
        <x:v>0.25</x:v>
      </x:c>
      <x:c r="G5" s="34" t="n">
        <x:v>0.15</x:v>
      </x:c>
      <x:c r="H5" s="34" t="n">
        <x:v>0.1</x:v>
      </x:c>
      <x:c r="I5" s="34" t="n">
        <x:v>0.05</x:v>
      </x:c>
      <x:c r="J5" s="34" t="n">
        <x:v>0.05</x:v>
      </x:c>
      <x:c r="K5" s="34" t="n">
        <x:v>0.05</x:v>
      </x:c>
      <x:c r="L5" s="34" t="n">
        <x:v>0.05</x:v>
      </x:c>
      <x:c r="M5" s="34" t="n">
        <x:f>SUM(C5:L5)</x:f>
        <x:v>1.0000000000000002</x:v>
      </x:c>
    </x:row>
    <x:row r="6" ht="28" customHeight="1">
      <x:c r="A6" s="32" t="str">
        <x:v>FA</x:v>
      </x:c>
      <x:c r="B6" s="32" t="str">
        <x:v>Finance and Accounting</x:v>
      </x:c>
      <x:c r="C6" s="34" t="n">
        <x:v>0.25</x:v>
      </x:c>
      <x:c r="D6" s="34" t="n">
        <x:v>0.1</x:v>
      </x:c>
      <x:c r="E6" s="34" t="n">
        <x:v>0.05</x:v>
      </x:c>
      <x:c r="F6" s="34" t="n">
        <x:v>0.25</x:v>
      </x:c>
      <x:c r="G6" s="34" t="n">
        <x:v>0.1</x:v>
      </x:c>
      <x:c r="H6" s="34" t="n">
        <x:v>0.05</x:v>
      </x:c>
      <x:c r="I6" s="34" t="n">
        <x:v>0.05</x:v>
      </x:c>
      <x:c r="J6" s="34" t="n">
        <x:v>0.05</x:v>
      </x:c>
      <x:c r="K6" s="34" t="n">
        <x:v>0.05</x:v>
      </x:c>
      <x:c r="L6" s="34" t="n">
        <x:v>0.05</x:v>
      </x:c>
      <x:c r="M6" s="34" t="n">
        <x:f>SUM(C6:L6)</x:f>
        <x:v>1</x:v>
      </x:c>
    </x:row>
    <x:row r="7" ht="28" customHeight="1">
      <x:c r="A7" s="28" t="str">
        <x:v>DA</x:v>
      </x:c>
      <x:c r="B7" s="28" t="str">
        <x:v>Data and Analytics</x:v>
      </x:c>
      <x:c r="C7" s="34" t="n">
        <x:v>0.2</x:v>
      </x:c>
      <x:c r="D7" s="34" t="n">
        <x:v>0.2</x:v>
      </x:c>
      <x:c r="E7" s="34" t="n">
        <x:v>0.05</x:v>
      </x:c>
      <x:c r="F7" s="34" t="n">
        <x:v>0.2</x:v>
      </x:c>
      <x:c r="G7" s="34" t="n">
        <x:v>0.2</x:v>
      </x:c>
      <x:c r="H7" s="34" t="n">
        <x:v>0.05</x:v>
      </x:c>
      <x:c r="I7" s="34" t="n">
        <x:v>0.02</x:v>
      </x:c>
      <x:c r="J7" s="34" t="n">
        <x:v>0.02</x:v>
      </x:c>
      <x:c r="K7" s="34" t="n">
        <x:v>0.04</x:v>
      </x:c>
      <x:c r="L7" s="34" t="n">
        <x:v>0.02</x:v>
      </x:c>
      <x:c r="M7" s="34" t="n">
        <x:f>SUM(C7:L7)</x:f>
        <x:v>1.0000000000000002</x:v>
      </x:c>
    </x:row>
    <x:row r="8" ht="28" customHeight="1">
      <x:c r="A8" s="32" t="str">
        <x:v>IT</x:v>
      </x:c>
      <x:c r="B8" s="32" t="str">
        <x:v>IT and Technical Support</x:v>
      </x:c>
      <x:c r="C8" s="34" t="n">
        <x:v>0.1</x:v>
      </x:c>
      <x:c r="D8" s="34" t="n">
        <x:v>0.25</x:v>
      </x:c>
      <x:c r="E8" s="34" t="n">
        <x:v>0.15</x:v>
      </x:c>
      <x:c r="F8" s="34" t="n">
        <x:v>0.1</x:v>
      </x:c>
      <x:c r="G8" s="34" t="n">
        <x:v>0.25</x:v>
      </x:c>
      <x:c r="H8" s="34" t="n">
        <x:v>0.05</x:v>
      </x:c>
      <x:c r="I8" s="34" t="n">
        <x:v>0.02</x:v>
      </x:c>
      <x:c r="J8" s="34" t="n">
        <x:v>0.03</x:v>
      </x:c>
      <x:c r="K8" s="34" t="n">
        <x:v>0.03</x:v>
      </x:c>
      <x:c r="L8" s="34" t="n">
        <x:v>0.02</x:v>
      </x:c>
      <x:c r="M8" s="34" t="n">
        <x:f>SUM(C8:L8)</x:f>
        <x:v>1</x:v>
      </x:c>
    </x:row>
    <x:row r="9" ht="28" customHeight="1">
      <x:c r="A9" s="28" t="str">
        <x:v>MC</x:v>
      </x:c>
      <x:c r="B9" s="28" t="str">
        <x:v>Marketing and Communications</x:v>
      </x:c>
      <x:c r="C9" s="34" t="n">
        <x:v>0.05</x:v>
      </x:c>
      <x:c r="D9" s="34" t="n">
        <x:v>0.1</x:v>
      </x:c>
      <x:c r="E9" s="34" t="n">
        <x:v>0.2</x:v>
      </x:c>
      <x:c r="F9" s="34" t="n">
        <x:v>0.1</x:v>
      </x:c>
      <x:c r="G9" s="34" t="n">
        <x:v>0.1</x:v>
      </x:c>
      <x:c r="H9" s="34" t="n">
        <x:v>0.1</x:v>
      </x:c>
      <x:c r="I9" s="34" t="n">
        <x:v>0.05</x:v>
      </x:c>
      <x:c r="J9" s="34" t="n">
        <x:v>0.05</x:v>
      </x:c>
      <x:c r="K9" s="34" t="n">
        <x:v>0.1</x:v>
      </x:c>
      <x:c r="L9" s="34" t="n">
        <x:v>0.15</x:v>
      </x:c>
      <x:c r="M9" s="34" t="n">
        <x:f>SUM(C9:L9)</x:f>
        <x:v>1</x:v>
      </x:c>
    </x:row>
    <x:row r="10" ht="28" customHeight="1">
      <x:c r="A10" s="32" t="str">
        <x:v>SC</x:v>
      </x:c>
      <x:c r="B10" s="32" t="str">
        <x:v>Sales and Customer Service</x:v>
      </x:c>
      <x:c r="C10" s="34" t="n">
        <x:v>0.05</x:v>
      </x:c>
      <x:c r="D10" s="34" t="n">
        <x:v>0.05</x:v>
      </x:c>
      <x:c r="E10" s="34" t="n">
        <x:v>0.25</x:v>
      </x:c>
      <x:c r="F10" s="34" t="n">
        <x:v>0.05</x:v>
      </x:c>
      <x:c r="G10" s="34" t="n">
        <x:v>0.1</x:v>
      </x:c>
      <x:c r="H10" s="34" t="n">
        <x:v>0.15</x:v>
      </x:c>
      <x:c r="I10" s="34" t="n">
        <x:v>0.05</x:v>
      </x:c>
      <x:c r="J10" s="34" t="n">
        <x:v>0.1</x:v>
      </x:c>
      <x:c r="K10" s="34" t="n">
        <x:v>0.1</x:v>
      </x:c>
      <x:c r="L10" s="34" t="n">
        <x:v>0.1</x:v>
      </x:c>
      <x:c r="M10" s="34" t="n">
        <x:f>SUM(C10:L10)</x:f>
        <x:v>1</x:v>
      </x:c>
    </x:row>
    <x:row r="11" ht="28" customHeight="1">
      <x:c r="A11" s="28" t="str">
        <x:v>PC</x:v>
      </x:c>
      <x:c r="B11" s="28" t="str">
        <x:v>Project Coordination</x:v>
      </x:c>
      <x:c r="C11" s="34" t="n">
        <x:v>0.1</x:v>
      </x:c>
      <x:c r="D11" s="34" t="n">
        <x:v>0.1</x:v>
      </x:c>
      <x:c r="E11" s="34" t="n">
        <x:v>0.15</x:v>
      </x:c>
      <x:c r="F11" s="34" t="n">
        <x:v>0.2</x:v>
      </x:c>
      <x:c r="G11" s="34" t="n">
        <x:v>0.15</x:v>
      </x:c>
      <x:c r="H11" s="34" t="n">
        <x:v>0.1</x:v>
      </x:c>
      <x:c r="I11" s="34" t="n">
        <x:v>0.1</x:v>
      </x:c>
      <x:c r="J11" s="34" t="n">
        <x:v>0.05</x:v>
      </x:c>
      <x:c r="K11" s="34" t="n">
        <x:v>0.03</x:v>
      </x:c>
      <x:c r="L11" s="34" t="n">
        <x:v>0.02</x:v>
      </x:c>
      <x:c r="M11" s="34" t="n">
        <x:f>SUM(C11:L11)</x:f>
        <x:v>1</x:v>
      </x:c>
    </x:row>
    <x:row r="12" ht="28" customHeight="1">
      <x:c r="A12" s="32" t="str">
        <x:v>HR</x:v>
      </x:c>
      <x:c r="B12" s="32" t="str">
        <x:v>Human Resources and People Support</x:v>
      </x:c>
      <x:c r="C12" s="34" t="n">
        <x:v>0.05</x:v>
      </x:c>
      <x:c r="D12" s="34" t="n">
        <x:v>0.05</x:v>
      </x:c>
      <x:c r="E12" s="34" t="n">
        <x:v>0.2</x:v>
      </x:c>
      <x:c r="F12" s="34" t="n">
        <x:v>0.1</x:v>
      </x:c>
      <x:c r="G12" s="34" t="n">
        <x:v>0.1</x:v>
      </x:c>
      <x:c r="H12" s="34" t="n">
        <x:v>0.2</x:v>
      </x:c>
      <x:c r="I12" s="34" t="n">
        <x:v>0.1</x:v>
      </x:c>
      <x:c r="J12" s="34" t="n">
        <x:v>0.15</x:v>
      </x:c>
      <x:c r="K12" s="34" t="n">
        <x:v>0.03</x:v>
      </x:c>
      <x:c r="L12" s="34" t="n">
        <x:v>0.02</x:v>
      </x:c>
      <x:c r="M12" s="34" t="n">
        <x:f>SUM(C12:L12)</x:f>
        <x:v>1</x:v>
      </x:c>
    </x:row>
    <x:row r="13" ht="28" customHeight="1">
      <x:c r="A13" s="28" t="str">
        <x:v>BD</x:v>
      </x:c>
      <x:c r="B13" s="28" t="str">
        <x:v>Business Development</x:v>
      </x:c>
      <x:c r="C13" s="34" t="n">
        <x:v>0.1</x:v>
      </x:c>
      <x:c r="D13" s="34" t="n">
        <x:v>0.05</x:v>
      </x:c>
      <x:c r="E13" s="34" t="n">
        <x:v>0.2</x:v>
      </x:c>
      <x:c r="F13" s="34" t="n">
        <x:v>0.05</x:v>
      </x:c>
      <x:c r="G13" s="34" t="n">
        <x:v>0.1</x:v>
      </x:c>
      <x:c r="H13" s="34" t="n">
        <x:v>0.1</x:v>
      </x:c>
      <x:c r="I13" s="34" t="n">
        <x:v>0.1</x:v>
      </x:c>
      <x:c r="J13" s="34" t="n">
        <x:v>0.05</x:v>
      </x:c>
      <x:c r="K13" s="34" t="n">
        <x:v>0.1</x:v>
      </x:c>
      <x:c r="L13" s="34" t="n">
        <x:v>0.15</x:v>
      </x:c>
      <x:c r="M13" s="34" t="n">
        <x:f>SUM(C13:L13)</x:f>
        <x:v>1</x:v>
      </x:c>
    </x:row>
    <x:row r="14" ht="28" customHeight="1">
      <x:c r="A14" s="32" t="str">
        <x:v>EN</x:v>
      </x:c>
      <x:c r="B14" s="32" t="str">
        <x:v>Entrepreneurship and Business Ownership</x:v>
      </x:c>
      <x:c r="C14" s="34" t="n">
        <x:v>0.1</x:v>
      </x:c>
      <x:c r="D14" s="34" t="n">
        <x:v>0.05</x:v>
      </x:c>
      <x:c r="E14" s="34" t="n">
        <x:v>0.1</x:v>
      </x:c>
      <x:c r="F14" s="34" t="n">
        <x:v>0.05</x:v>
      </x:c>
      <x:c r="G14" s="34" t="n">
        <x:v>0.15</x:v>
      </x:c>
      <x:c r="H14" s="34" t="n">
        <x:v>0.05</x:v>
      </x:c>
      <x:c r="I14" s="34" t="n">
        <x:v>0.15</x:v>
      </x:c>
      <x:c r="J14" s="34" t="n">
        <x:v>0.05</x:v>
      </x:c>
      <x:c r="K14" s="34" t="n">
        <x:v>0.15</x:v>
      </x:c>
      <x:c r="L14" s="34" t="n">
        <x:v>0.15</x:v>
      </x:c>
      <x:c r="M14" s="34" t="n">
        <x:f>SUM(C14:L14)</x:f>
        <x:v>1</x:v>
      </x:c>
    </x:row>
    <x:row r="15" ht="28" customHeight="1">
      <x:c r="A15" s="28" t="str">
        <x:v>LS</x:v>
      </x:c>
      <x:c r="B15" s="28" t="str">
        <x:v>Leadership and Supervision</x:v>
      </x:c>
      <x:c r="C15" s="34" t="n">
        <x:v>0.05</x:v>
      </x:c>
      <x:c r="D15" s="34" t="n">
        <x:v>0.05</x:v>
      </x:c>
      <x:c r="E15" s="34" t="n">
        <x:v>0.15</x:v>
      </x:c>
      <x:c r="F15" s="34" t="n">
        <x:v>0.1</x:v>
      </x:c>
      <x:c r="G15" s="34" t="n">
        <x:v>0.1</x:v>
      </x:c>
      <x:c r="H15" s="34" t="n">
        <x:v>0.15</x:v>
      </x:c>
      <x:c r="I15" s="34" t="n">
        <x:v>0.2</x:v>
      </x:c>
      <x:c r="J15" s="34" t="n">
        <x:v>0.1</x:v>
      </x:c>
      <x:c r="K15" s="34" t="n">
        <x:v>0.05</x:v>
      </x:c>
      <x:c r="L15" s="34" t="n">
        <x:v>0.05</x:v>
      </x:c>
      <x:c r="M15" s="34" t="n">
        <x:f>SUM(C15:L15)</x:f>
        <x:v>1</x:v>
      </x:c>
    </x:row>
    <x:row r="16" ht="28" customHeight="1">
      <x:c r="A16" s="32" t="str">
        <x:v>PT</x:v>
      </x:c>
      <x:c r="B16" s="32" t="str">
        <x:v>Practical and Technical Work</x:v>
      </x:c>
      <x:c r="C16" s="34" t="n">
        <x:v>0.1</x:v>
      </x:c>
      <x:c r="D16" s="34" t="n">
        <x:v>0.2</x:v>
      </x:c>
      <x:c r="E16" s="34" t="n">
        <x:v>0.05</x:v>
      </x:c>
      <x:c r="F16" s="34" t="n">
        <x:v>0.15</x:v>
      </x:c>
      <x:c r="G16" s="34" t="n">
        <x:v>0.25</x:v>
      </x:c>
      <x:c r="H16" s="34" t="n">
        <x:v>0.05</x:v>
      </x:c>
      <x:c r="I16" s="34" t="n">
        <x:v>0.05</x:v>
      </x:c>
      <x:c r="J16" s="34" t="n">
        <x:v>0.05</x:v>
      </x:c>
      <x:c r="K16" s="34" t="n">
        <x:v>0.05</x:v>
      </x:c>
      <x:c r="L16" s="34" t="n">
        <x:v>0.05</x:v>
      </x:c>
      <x:c r="M16" s="34" t="n">
        <x:f>SUM(C16:L16)</x:f>
        <x:v>1.0000000000000002</x:v>
      </x:c>
    </x:row>
    <x:row r="19" ht="24" customHeight="1">
      <x:c r="A19" s="39" t="str">
        <x:v>COMPETENCY LEGEND</x:v>
      </x:c>
      <x:c r="B19" s="39"/>
      <x:c r="C19" s="39"/>
      <x:c r="D19" s="39"/>
      <x:c r="E19" s="39"/>
      <x:c r="F19" s="39"/>
      <x:c r="G19" s="39"/>
      <x:c r="H19" s="39"/>
      <x:c r="I19" s="39"/>
      <x:c r="J19" s="39"/>
      <x:c r="K19" s="39"/>
      <x:c r="L19" s="39"/>
      <x:c r="M19" s="39"/>
    </x:row>
    <x:row r="20" ht="28" customHeight="1">
      <x:c r="A20" s="20" t="str">
        <x:v>Code</x:v>
      </x:c>
      <x:c r="B20" s="20" t="str">
        <x:v>Competency</x:v>
      </x:c>
      <x:c r="C20" s="20"/>
      <x:c r="D20" s="20"/>
      <x:c r="E20" s="20" t="str">
        <x:v>Definition</x:v>
      </x:c>
      <x:c r="F20" s="20"/>
      <x:c r="G20" s="20"/>
      <x:c r="H20" s="20"/>
      <x:c r="I20" s="20"/>
      <x:c r="J20" s="20" t="str">
        <x:v>Evidence Assessed</x:v>
      </x:c>
      <x:c r="K20" s="20"/>
      <x:c r="L20" s="20"/>
      <x:c r="M20" s="20"/>
    </x:row>
    <x:row r="21" ht="48" customHeight="1">
      <x:c r="A21" s="28" t="str">
        <x:v>C01</x:v>
      </x:c>
      <x:c r="B21" s="28" t="str">
        <x:v>Analytical and Numerical Ability</x:v>
      </x:c>
      <x:c r="C21" s="28"/>
      <x:c r="D21" s="28"/>
      <x:c r="E21" s="28" t="str">
        <x:v>Works with numbers, compares information, identifies patterns and draws logical conclusions.</x:v>
      </x:c>
      <x:c r="F21" s="28"/>
      <x:c r="G21" s="28"/>
      <x:c r="H21" s="28"/>
      <x:c r="I21" s="28"/>
      <x:c r="J21" s="28" t="str">
        <x:v>Calculations, ratios, percentages, data interpretation and accuracy.</x:v>
      </x:c>
      <x:c r="K21" s="28"/>
      <x:c r="L21" s="28"/>
      <x:c r="M21" s="28"/>
    </x:row>
    <x:row r="22" ht="48" customHeight="1">
      <x:c r="A22" s="32" t="str">
        <x:v>C02</x:v>
      </x:c>
      <x:c r="B22" s="32" t="str">
        <x:v>Digital and Technical Ability</x:v>
      </x:c>
      <x:c r="C22" s="32"/>
      <x:c r="D22" s="32"/>
      <x:c r="E22" s="32" t="str">
        <x:v>Uses digital tools, learns systems and resolves basic technical problems.</x:v>
      </x:c>
      <x:c r="F22" s="32"/>
      <x:c r="G22" s="32"/>
      <x:c r="H22" s="32"/>
      <x:c r="I22" s="32"/>
      <x:c r="J22" s="32" t="str">
        <x:v>Software use, file management, cybersecurity awareness and troubleshooting.</x:v>
      </x:c>
      <x:c r="K22" s="32"/>
      <x:c r="L22" s="32"/>
      <x:c r="M22" s="32"/>
    </x:row>
    <x:row r="23" ht="48" customHeight="1">
      <x:c r="A23" s="28" t="str">
        <x:v>C03</x:v>
      </x:c>
      <x:c r="B23" s="28" t="str">
        <x:v>Communication</x:v>
      </x:c>
      <x:c r="C23" s="28"/>
      <x:c r="D23" s="28"/>
      <x:c r="E23" s="28" t="str">
        <x:v>Explains, listens, writes and adapts messages clearly and professionally.</x:v>
      </x:c>
      <x:c r="F23" s="28"/>
      <x:c r="G23" s="28"/>
      <x:c r="H23" s="28"/>
      <x:c r="I23" s="28"/>
      <x:c r="J23" s="28" t="str">
        <x:v>Professional writing, active listening, concise updates and audience awareness.</x:v>
      </x:c>
      <x:c r="K23" s="28"/>
      <x:c r="L23" s="28"/>
      <x:c r="M23" s="28"/>
    </x:row>
    <x:row r="24" ht="48" customHeight="1">
      <x:c r="A24" s="32" t="str">
        <x:v>C04</x:v>
      </x:c>
      <x:c r="B24" s="32" t="str">
        <x:v>Organisation and Attention to Detail</x:v>
      </x:c>
      <x:c r="C24" s="32"/>
      <x:c r="D24" s="32"/>
      <x:c r="E24" s="32" t="str">
        <x:v>Plans work, follows procedures, manages records and identifies errors.</x:v>
      </x:c>
      <x:c r="F24" s="32"/>
      <x:c r="G24" s="32"/>
      <x:c r="H24" s="32"/>
      <x:c r="I24" s="32"/>
      <x:c r="J24" s="32" t="str">
        <x:v>Prioritisation, checking, deadlines, documentation and consistency.</x:v>
      </x:c>
      <x:c r="K24" s="32"/>
      <x:c r="L24" s="32"/>
      <x:c r="M24" s="32"/>
    </x:row>
    <x:row r="25" ht="48" customHeight="1">
      <x:c r="A25" s="28" t="str">
        <x:v>C05</x:v>
      </x:c>
      <x:c r="B25" s="28" t="str">
        <x:v>Problem-Solving</x:v>
      </x:c>
      <x:c r="C25" s="28"/>
      <x:c r="D25" s="28"/>
      <x:c r="E25" s="28" t="str">
        <x:v>Identifies causes, evaluates options and selects practical evidence-based actions.</x:v>
      </x:c>
      <x:c r="F25" s="28"/>
      <x:c r="G25" s="28"/>
      <x:c r="H25" s="28"/>
      <x:c r="I25" s="28"/>
      <x:c r="J25" s="28" t="str">
        <x:v>Root-cause thinking, judgement, escalation and corrective action.</x:v>
      </x:c>
      <x:c r="K25" s="28"/>
      <x:c r="L25" s="28"/>
      <x:c r="M25" s="28"/>
    </x:row>
    <x:row r="26" ht="48" customHeight="1">
      <x:c r="A26" s="32" t="str">
        <x:v>C06</x:v>
      </x:c>
      <x:c r="B26" s="32" t="str">
        <x:v>People and Teamwork</x:v>
      </x:c>
      <x:c r="C26" s="32"/>
      <x:c r="D26" s="32"/>
      <x:c r="E26" s="32" t="str">
        <x:v>Cooperates, supports shared goals and works respectfully with different people.</x:v>
      </x:c>
      <x:c r="F26" s="32"/>
      <x:c r="G26" s="32"/>
      <x:c r="H26" s="32"/>
      <x:c r="I26" s="32"/>
      <x:c r="J26" s="32" t="str">
        <x:v>Collaboration, contribution, customer orientation and inclusion.</x:v>
      </x:c>
      <x:c r="K26" s="32"/>
      <x:c r="L26" s="32"/>
      <x:c r="M26" s="32"/>
    </x:row>
    <x:row r="27" ht="48" customHeight="1">
      <x:c r="A27" s="28" t="str">
        <x:v>C07</x:v>
      </x:c>
      <x:c r="B27" s="28" t="str">
        <x:v>Leadership and Decision-Making</x:v>
      </x:c>
      <x:c r="C27" s="28"/>
      <x:c r="D27" s="28"/>
      <x:c r="E27" s="28" t="str">
        <x:v>Takes responsibility, guides others and makes accountable decisions.</x:v>
      </x:c>
      <x:c r="F27" s="28"/>
      <x:c r="G27" s="28"/>
      <x:c r="H27" s="28"/>
      <x:c r="I27" s="28"/>
      <x:c r="J27" s="28" t="str">
        <x:v>Delegation, performance support, direction and ownership.</x:v>
      </x:c>
      <x:c r="K27" s="28"/>
      <x:c r="L27" s="28"/>
      <x:c r="M27" s="28"/>
    </x:row>
    <x:row r="28" ht="48" customHeight="1">
      <x:c r="A28" s="32" t="str">
        <x:v>C08</x:v>
      </x:c>
      <x:c r="B28" s="32" t="str">
        <x:v>Conflict Management and Emotional Regulation</x:v>
      </x:c>
      <x:c r="C28" s="32"/>
      <x:c r="D28" s="32"/>
      <x:c r="E28" s="32" t="str">
        <x:v>Remains calm, listens, handles criticism and resolves disagreement fairly.</x:v>
      </x:c>
      <x:c r="F28" s="32"/>
      <x:c r="G28" s="32"/>
      <x:c r="H28" s="32"/>
      <x:c r="I28" s="32"/>
      <x:c r="J28" s="32" t="str">
        <x:v>Assertiveness, de-escalation, fairness and emotional control.</x:v>
      </x:c>
      <x:c r="K28" s="32"/>
      <x:c r="L28" s="32"/>
      <x:c r="M28" s="32"/>
    </x:row>
    <x:row r="29" ht="48" customHeight="1">
      <x:c r="A29" s="28" t="str">
        <x:v>C09</x:v>
      </x:c>
      <x:c r="B29" s="28" t="str">
        <x:v>Initiative, Creativity and Adaptability</x:v>
      </x:c>
      <x:c r="C29" s="28"/>
      <x:c r="D29" s="28"/>
      <x:c r="E29" s="28" t="str">
        <x:v>Acts without constant prompting, improves processes and adjusts to change.</x:v>
      </x:c>
      <x:c r="F29" s="28"/>
      <x:c r="G29" s="28"/>
      <x:c r="H29" s="28"/>
      <x:c r="I29" s="28"/>
      <x:c r="J29" s="28" t="str">
        <x:v>Ownership, learning agility, resilience, creativity and flexibility.</x:v>
      </x:c>
      <x:c r="K29" s="28"/>
      <x:c r="L29" s="28"/>
      <x:c r="M29" s="28"/>
    </x:row>
    <x:row r="30" ht="48" customHeight="1">
      <x:c r="A30" s="32" t="str">
        <x:v>C10</x:v>
      </x:c>
      <x:c r="B30" s="32" t="str">
        <x:v>Commercial and Entrepreneurial Thinking</x:v>
      </x:c>
      <x:c r="C30" s="32"/>
      <x:c r="D30" s="32"/>
      <x:c r="E30" s="32" t="str">
        <x:v>Recognises opportunities, understands customer value, costs, revenue and calculated risk.</x:v>
      </x:c>
      <x:c r="F30" s="32"/>
      <x:c r="G30" s="32"/>
      <x:c r="H30" s="32"/>
      <x:c r="I30" s="32"/>
      <x:c r="J30" s="32" t="str">
        <x:v>Opportunity recognition, pricing, customer need, sustainability and risk judgement.</x:v>
      </x:c>
      <x:c r="K30" s="32"/>
      <x:c r="L30" s="32"/>
      <x:c r="M30" s="32"/>
    </x:row>
  </x:sheetData>
  <x:mergeCells>
    <x:mergeCell ref="A1:M1"/>
    <x:mergeCell ref="A2:M2"/>
    <x:mergeCell ref="A19:M19"/>
    <x:mergeCell ref="B20:D20"/>
    <x:mergeCell ref="E20:I20"/>
    <x:mergeCell ref="J20:M20"/>
    <x:mergeCell ref="B21:D21"/>
    <x:mergeCell ref="E21:I21"/>
    <x:mergeCell ref="J21:M21"/>
    <x:mergeCell ref="B22:D22"/>
    <x:mergeCell ref="E22:I22"/>
    <x:mergeCell ref="J22:M22"/>
    <x:mergeCell ref="B23:D23"/>
    <x:mergeCell ref="E23:I23"/>
    <x:mergeCell ref="J23:M23"/>
    <x:mergeCell ref="B24:D24"/>
    <x:mergeCell ref="E24:I24"/>
    <x:mergeCell ref="J24:M24"/>
    <x:mergeCell ref="B25:D25"/>
    <x:mergeCell ref="E25:I25"/>
    <x:mergeCell ref="J25:M25"/>
    <x:mergeCell ref="B26:D26"/>
    <x:mergeCell ref="E26:I26"/>
    <x:mergeCell ref="J26:M26"/>
    <x:mergeCell ref="B27:D27"/>
    <x:mergeCell ref="E27:I27"/>
    <x:mergeCell ref="J27:M27"/>
    <x:mergeCell ref="B28:D28"/>
    <x:mergeCell ref="E28:I28"/>
    <x:mergeCell ref="J28:M28"/>
    <x:mergeCell ref="B29:D29"/>
    <x:mergeCell ref="E29:I29"/>
    <x:mergeCell ref="J29:M29"/>
    <x:mergeCell ref="B30:D30"/>
    <x:mergeCell ref="E30:I30"/>
    <x:mergeCell ref="J30:M30"/>
  </x:mergeCells>
  <x:conditionalFormatting sqref="C5:L16">
    <x:cfRule type="colorScale" priority="1">
      <x:colorScale>
        <x:cfvo type="min"/>
        <x:cfvo type="percentile" val="50"/>
        <x:cfvo type="max"/>
        <x:color rgb="FFFFFFFF"/>
        <x:color rgb="FFFFF2CC"/>
        <x:color rgb="FF70AD47"/>
      </x:colorScale>
    </x:cfRule>
  </x:conditionalFormatting>
  <x:conditionalFormatting sqref="M5:M16">
    <x:cfRule type="expression" dxfId="0" priority="2">
      <x:formula>ABS(M5-1)&gt;0.0001</x:formula>
    </x:cfRule>
  </x:conditionalFormatting>
  <x:pageMargins left="0.7" right="0.7" top="0.75" bottom="0.75" header="0.3" footer="0.3"/>
  <x:tableParts count="1">
    <x:tablePart xmlns:r="http://schemas.openxmlformats.org/officeDocument/2006/relationships" r:id="R6dba63d340fc4317"/>
  </x:tableParts>
</x:worksheet>
</file>

<file path=xl/worksheets/sheet3.xml><?xml version="1.0" encoding="utf-8"?>
<x:worksheet xmlns:x="http://schemas.openxmlformats.org/spreadsheetml/2006/main">
  <x:sheetFormatPr defaultRowHeight="15"/>
  <x:cols>
    <x:col min="1" max="1" width="12" hidden="0" customWidth="1"/>
    <x:col min="2" max="2" width="8" hidden="0" customWidth="1"/>
    <x:col min="3" max="3" width="28" hidden="0" customWidth="1"/>
    <x:col min="4" max="4" width="54" hidden="0" customWidth="1"/>
    <x:col min="5" max="5" width="16" hidden="0" customWidth="1"/>
    <x:col min="6" max="6" width="16" hidden="0" customWidth="1"/>
    <x:col min="7" max="7" width="28" hidden="0" customWidth="1"/>
    <x:col min="8" max="8" width="28" hidden="0" customWidth="1"/>
    <x:col min="9" max="9" width="60" hidden="0" customWidth="1"/>
    <x:col min="10" max="10" width="42" hidden="0" customWidth="1"/>
    <x:col min="11" max="11" width="10" hidden="0" customWidth="1"/>
    <x:col min="12" max="12" width="10" hidden="0" customWidth="1"/>
    <x:col min="13" max="13" width="35" hidden="0" customWidth="1"/>
  </x:cols>
  <x:sheetData>
    <x:row r="1" ht="28" customHeight="1">
      <x:c r="A1" s="5" t="str">
        <x:v>PILLAR 5 | APTITUDE AND ROLE-MATCHING QUESTION BANK</x:v>
      </x:c>
      <x:c r="B1" s="5"/>
      <x:c r="C1" s="5"/>
      <x:c r="D1" s="5"/>
      <x:c r="E1" s="5"/>
      <x:c r="F1" s="5"/>
      <x:c r="G1" s="5"/>
      <x:c r="H1" s="5"/>
      <x:c r="I1" s="5"/>
      <x:c r="J1" s="5"/>
      <x:c r="K1" s="5"/>
      <x:c r="L1" s="5"/>
      <x:c r="M1" s="5"/>
    </x:row>
    <x:row r="2" ht="34" customHeight="1">
      <x:c r="A2" s="12" t="str">
        <x:v>84 questions covering profile and experience, hard skills, reasoning, communication, organisation, teamwork, leadership, conflict management, work style and career interests.</x:v>
      </x:c>
      <x:c r="B2" s="12"/>
      <x:c r="C2" s="12"/>
      <x:c r="D2" s="12"/>
      <x:c r="E2" s="12"/>
      <x:c r="F2" s="12"/>
      <x:c r="G2" s="12"/>
      <x:c r="H2" s="12"/>
      <x:c r="I2" s="12"/>
      <x:c r="J2" s="12"/>
      <x:c r="K2" s="12"/>
      <x:c r="L2" s="12"/>
      <x:c r="M2" s="12"/>
    </x:row>
    <x:row r="4" ht="45" customHeight="1">
      <x:c r="A4" s="20" t="str">
        <x:v>Question ID</x:v>
      </x:c>
      <x:c r="B4" s="20" t="str">
        <x:v>Order</x:v>
      </x:c>
      <x:c r="C4" s="20" t="str">
        <x:v>Section</x:v>
      </x:c>
      <x:c r="D4" s="20" t="str">
        <x:v>Question</x:v>
      </x:c>
      <x:c r="E4" s="20" t="str">
        <x:v>Response Type</x:v>
      </x:c>
      <x:c r="F4" s="20" t="str">
        <x:v>Scoring Type</x:v>
      </x:c>
      <x:c r="G4" s="20" t="str">
        <x:v>Primary Competency</x:v>
      </x:c>
      <x:c r="H4" s="20" t="str">
        <x:v>Secondary Competency</x:v>
      </x:c>
      <x:c r="I4" s="20" t="str">
        <x:v>Answer Options</x:v>
      </x:c>
      <x:c r="J4" s="20" t="str">
        <x:v>Scoring / Mapping Key</x:v>
      </x:c>
      <x:c r="K4" s="20" t="str">
        <x:v>Max Score</x:v>
      </x:c>
      <x:c r="L4" s="20" t="str">
        <x:v>Required</x:v>
      </x:c>
      <x:c r="M4" s="20" t="str">
        <x:v>Notes</x:v>
      </x:c>
    </x:row>
    <x:row r="5" ht="92" customHeight="1">
      <x:c r="A5" s="28" t="str">
        <x:v>P001</x:v>
      </x:c>
      <x:c r="B5" s="44" t="n">
        <x:v>1</x:v>
      </x:c>
      <x:c r="C5" s="28" t="str">
        <x:v>Profile &amp; Exposure</x:v>
      </x:c>
      <x:c r="D5" s="28" t="str">
        <x:v>I consent to my responses being used for role-matching, development and programme placement, subject to human review.</x:v>
      </x:c>
      <x:c r="E5" s="28" t="str">
        <x:v>Single select</x:v>
      </x:c>
      <x:c r="F5" s="28" t="str">
        <x:v>Consent</x:v>
      </x:c>
      <x:c r="G5" s="28" t="str"/>
      <x:c r="H5" s="28" t="str"/>
      <x:c r="I5" s="28" t="str">
        <x:v>A. Yes, I consent
B. No, I do not consent</x:v>
      </x:c>
      <x:c r="J5" s="28" t="str">
        <x:v>Yes = proceed; No = stop and do not score</x:v>
      </x:c>
      <x:c r="K5" s="44" t="n">
        <x:v>0</x:v>
      </x:c>
      <x:c r="L5" s="44" t="str">
        <x:v>Yes</x:v>
      </x:c>
      <x:c r="M5" s="28" t="str">
        <x:v>If No is selected, do not continue or score the submission.</x:v>
      </x:c>
    </x:row>
    <x:row r="6" ht="92" customHeight="1">
      <x:c r="A6" s="32" t="str">
        <x:v>P002</x:v>
      </x:c>
      <x:c r="B6" s="45" t="n">
        <x:v>2</x:v>
      </x:c>
      <x:c r="C6" s="32" t="str">
        <x:v>Profile &amp; Exposure</x:v>
      </x:c>
      <x:c r="D6" s="32" t="str">
        <x:v>What is the highest level of education or training you have completed?</x:v>
      </x:c>
      <x:c r="E6" s="32" t="str">
        <x:v>Single select</x:v>
      </x:c>
      <x:c r="F6" s="32" t="str">
        <x:v>Context</x:v>
      </x:c>
      <x:c r="G6" s="32" t="str"/>
      <x:c r="H6" s="32" t="str"/>
      <x:c r="I6" s="32" t="str">
        <x:v>A. No formal qualification
B. Grade 9 or equivalent
C. Matric / Grade 12
D. Certificate or short programme
E. Diploma
F. Degree or higher</x:v>
      </x:c>
      <x:c r="J6" s="32" t="str">
        <x:v>Not scored; profile/context only</x:v>
      </x:c>
      <x:c r="K6" s="45" t="n">
        <x:v>0</x:v>
      </x:c>
      <x:c r="L6" s="45" t="str">
        <x:v>Yes</x:v>
      </x:c>
      <x:c r="M6" s="32" t="str"/>
    </x:row>
    <x:row r="7" ht="92" customHeight="1">
      <x:c r="A7" s="28" t="str">
        <x:v>P003</x:v>
      </x:c>
      <x:c r="B7" s="44" t="n">
        <x:v>3</x:v>
      </x:c>
      <x:c r="C7" s="28" t="str">
        <x:v>Profile &amp; Exposure</x:v>
      </x:c>
      <x:c r="D7" s="28" t="str">
        <x:v>How much total work, volunteer, project or business experience do you have?</x:v>
      </x:c>
      <x:c r="E7" s="28" t="str">
        <x:v>Single select</x:v>
      </x:c>
      <x:c r="F7" s="28" t="str">
        <x:v>Exposure</x:v>
      </x:c>
      <x:c r="G7" s="28" t="str"/>
      <x:c r="H7" s="28" t="str"/>
      <x:c r="I7" s="28" t="str">
        <x:v>A. None yet
B. Less than 6 months
C. 6 to 12 months
D. 1 to 2 years
E. More than 2 years</x:v>
      </x:c>
      <x:c r="J7" s="28" t="str">
        <x:v>A=0 | B=5 | C=10 | D=15 | E=20</x:v>
      </x:c>
      <x:c r="K7" s="44" t="n">
        <x:v>0</x:v>
      </x:c>
      <x:c r="L7" s="44" t="str">
        <x:v>Yes</x:v>
      </x:c>
      <x:c r="M7" s="28" t="str"/>
    </x:row>
    <x:row r="8" ht="170" customHeight="1">
      <x:c r="A8" s="32" t="str">
        <x:v>P004</x:v>
      </x:c>
      <x:c r="B8" s="45" t="n">
        <x:v>4</x:v>
      </x:c>
      <x:c r="C8" s="32" t="str">
        <x:v>Profile &amp; Exposure</x:v>
      </x:c>
      <x:c r="D8" s="32" t="str">
        <x:v>Select every role area in which you have previous work, volunteer, course, project or informal experience.</x:v>
      </x:c>
      <x:c r="E8" s="32" t="str">
        <x:v>Multiple select</x:v>
      </x:c>
      <x:c r="F8" s="32" t="str">
        <x:v>Exposure</x:v>
      </x:c>
      <x:c r="G8" s="32" t="str"/>
      <x:c r="H8" s="32" t="str"/>
      <x:c r="I8" s="32" t="str">
        <x:v>A. Administration and Operations
B. Finance and Accounting
C. Data and Analytics
D. IT and Technical Support
E. Marketing and Communications
F. Sales and Customer Service
G. Project Coordination
H. Human Resources and People Support
I. Business Development
J. Entrepreneurship and Business Ownership
K. Leadership and Supervision
L. Practical and Technical Work
M. None of these yet</x:v>
      </x:c>
      <x:c r="J8" s="32" t="str">
        <x:v>A→AO exposure | B→FA exposure | C→DA exposure | D→IT exposure | E→MC exposure | F→SC exposure | G→PC exposure | H→HR exposure | I→BD exposure | J→EN exposure | K→LS exposure | L→PT exposure | M→NO_ROLE_EXPOSURE</x:v>
      </x:c>
      <x:c r="K8" s="45" t="n">
        <x:v>0</x:v>
      </x:c>
      <x:c r="L8" s="45" t="str">
        <x:v>Yes</x:v>
      </x:c>
      <x:c r="M8" s="32" t="str"/>
    </x:row>
    <x:row r="9" ht="92" customHeight="1">
      <x:c r="A9" s="28" t="str">
        <x:v>P005</x:v>
      </x:c>
      <x:c r="B9" s="44" t="n">
        <x:v>5</x:v>
      </x:c>
      <x:c r="C9" s="28" t="str">
        <x:v>Profile &amp; Exposure</x:v>
      </x:c>
      <x:c r="D9" s="28" t="str">
        <x:v>What is the highest level of exposure you have in the role areas selected above?</x:v>
      </x:c>
      <x:c r="E9" s="28" t="str">
        <x:v>Single select</x:v>
      </x:c>
      <x:c r="F9" s="28" t="str">
        <x:v>Exposure</x:v>
      </x:c>
      <x:c r="G9" s="28" t="str"/>
      <x:c r="H9" s="28" t="str"/>
      <x:c r="I9" s="28" t="str">
        <x:v>A. No previous exposure
B. Personal or informal experience
C. Volunteer or community experience
D. Short course or structured training
E. Work or project experience under 1 year
F. Work or project experience of 1 year or more</x:v>
      </x:c>
      <x:c r="J9" s="28" t="str">
        <x:v>A=0 | B=20 | C=30 | D=35 | E=60 | F=80</x:v>
      </x:c>
      <x:c r="K9" s="44" t="n">
        <x:v>0</x:v>
      </x:c>
      <x:c r="L9" s="44" t="str">
        <x:v>Yes</x:v>
      </x:c>
      <x:c r="M9" s="28" t="str"/>
    </x:row>
    <x:row r="10" ht="135" customHeight="1">
      <x:c r="A10" s="32" t="str">
        <x:v>P006</x:v>
      </x:c>
      <x:c r="B10" s="45" t="n">
        <x:v>6</x:v>
      </x:c>
      <x:c r="C10" s="32" t="str">
        <x:v>Profile &amp; Exposure</x:v>
      </x:c>
      <x:c r="D10" s="32" t="str">
        <x:v>Select any activities you have previously completed, even informally.</x:v>
      </x:c>
      <x:c r="E10" s="32" t="str">
        <x:v>Multiple select</x:v>
      </x:c>
      <x:c r="F10" s="32" t="str">
        <x:v>Exposure</x:v>
      </x:c>
      <x:c r="G10" s="32" t="str"/>
      <x:c r="H10" s="32" t="str"/>
      <x:c r="I10" s="32" t="str">
        <x:v>A. Led or coordinated people or tasks
B. Sold products or services, or dealt directly with customers
C. Managed money, a budget, invoices or bookkeeping
D. Started, ran or helped operate a business
E. Repaired, installed or configured equipment or technology
F. Created content, marketing material or campaigns
G. Worked with data, spreadsheets or reports
H. Organised projects, events, schedules or operations
I. None of these yet</x:v>
      </x:c>
      <x:c r="J10" s="32" t="str">
        <x:v>A→LED_PEOPLE | B→SALES_CUSTOMER | C→MONEY_BUDGET | D→RAN_BUSINESS | E→TECH_HANDS_ON | F→CONTENT_MARKETING | G→DATA_REPORTS | H→PROJECT_OPERATIONS | I→NO_SPECIAL_EXPOSURE</x:v>
      </x:c>
      <x:c r="K10" s="45" t="n">
        <x:v>0</x:v>
      </x:c>
      <x:c r="L10" s="45" t="str">
        <x:v>Yes</x:v>
      </x:c>
      <x:c r="M10" s="32" t="str"/>
    </x:row>
    <x:row r="11" ht="92" customHeight="1">
      <x:c r="A11" s="28" t="str">
        <x:v>A001</x:v>
      </x:c>
      <x:c r="B11" s="44" t="n">
        <x:v>7</x:v>
      </x:c>
      <x:c r="C11" s="28" t="str">
        <x:v>Analytical &amp; Numerical</x:v>
      </x:c>
      <x:c r="D11" s="28" t="str">
        <x:v>A supplier sells 18 notebooks at R45 each. What is the total cost?</x:v>
      </x:c>
      <x:c r="E11" s="28" t="str">
        <x:v>Single select</x:v>
      </x:c>
      <x:c r="F11" s="28" t="str">
        <x:v>Objective</x:v>
      </x:c>
      <x:c r="G11" s="28" t="str">
        <x:v>C01 — Analytical and Numerical Ability</x:v>
      </x:c>
      <x:c r="H11" s="28" t="str">
        <x:v>C04 — Organisation and Attention to Detail</x:v>
      </x:c>
      <x:c r="I11" s="28" t="str">
        <x:v>A. R630
B. R720
C. R810
D. R900</x:v>
      </x:c>
      <x:c r="J11" s="28" t="str">
        <x:v>A=0 | B=1 | C=4 | D=0</x:v>
      </x:c>
      <x:c r="K11" s="44" t="n">
        <x:v>4</x:v>
      </x:c>
      <x:c r="L11" s="44" t="str">
        <x:v>Yes</x:v>
      </x:c>
      <x:c r="M11" s="28" t="str"/>
    </x:row>
    <x:row r="12" ht="92" customHeight="1">
      <x:c r="A12" s="32" t="str">
        <x:v>A002</x:v>
      </x:c>
      <x:c r="B12" s="45" t="n">
        <x:v>8</x:v>
      </x:c>
      <x:c r="C12" s="32" t="str">
        <x:v>Analytical &amp; Numerical</x:v>
      </x:c>
      <x:c r="D12" s="32" t="str">
        <x:v>A monthly total increases from 200 to 250. What is the percentage increase?</x:v>
      </x:c>
      <x:c r="E12" s="32" t="str">
        <x:v>Single select</x:v>
      </x:c>
      <x:c r="F12" s="32" t="str">
        <x:v>Objective</x:v>
      </x:c>
      <x:c r="G12" s="32" t="str">
        <x:v>C01 — Analytical and Numerical Ability</x:v>
      </x:c>
      <x:c r="H12" s="32" t="str">
        <x:v>C05 — Problem-Solving</x:v>
      </x:c>
      <x:c r="I12" s="32" t="str">
        <x:v>A. 20%
B. 25%
C. 40%
D. 50%</x:v>
      </x:c>
      <x:c r="J12" s="32" t="str">
        <x:v>A=1 | B=4 | C=0 | D=0</x:v>
      </x:c>
      <x:c r="K12" s="45" t="n">
        <x:v>4</x:v>
      </x:c>
      <x:c r="L12" s="45" t="str">
        <x:v>Yes</x:v>
      </x:c>
      <x:c r="M12" s="32" t="str"/>
    </x:row>
    <x:row r="13" ht="92" customHeight="1">
      <x:c r="A13" s="28" t="str">
        <x:v>A003</x:v>
      </x:c>
      <x:c r="B13" s="44" t="n">
        <x:v>9</x:v>
      </x:c>
      <x:c r="C13" s="28" t="str">
        <x:v>Analytical &amp; Numerical</x:v>
      </x:c>
      <x:c r="D13" s="28" t="str">
        <x:v>What is the average of 14, 18, 22 and 26?</x:v>
      </x:c>
      <x:c r="E13" s="28" t="str">
        <x:v>Single select</x:v>
      </x:c>
      <x:c r="F13" s="28" t="str">
        <x:v>Objective</x:v>
      </x:c>
      <x:c r="G13" s="28" t="str">
        <x:v>C01 — Analytical and Numerical Ability</x:v>
      </x:c>
      <x:c r="H13" s="28" t="str">
        <x:v>C04 — Organisation and Attention to Detail</x:v>
      </x:c>
      <x:c r="I13" s="28" t="str">
        <x:v>A. 18
B. 20
C. 21
D. 22</x:v>
      </x:c>
      <x:c r="J13" s="28" t="str">
        <x:v>A=1 | B=4 | C=0 | D=1</x:v>
      </x:c>
      <x:c r="K13" s="44" t="n">
        <x:v>4</x:v>
      </x:c>
      <x:c r="L13" s="44" t="str">
        <x:v>Yes</x:v>
      </x:c>
      <x:c r="M13" s="28" t="str"/>
    </x:row>
    <x:row r="14" ht="92" customHeight="1">
      <x:c r="A14" s="32" t="str">
        <x:v>A004</x:v>
      </x:c>
      <x:c r="B14" s="45" t="n">
        <x:v>10</x:v>
      </x:c>
      <x:c r="C14" s="32" t="str">
        <x:v>Analytical &amp; Numerical</x:v>
      </x:c>
      <x:c r="D14" s="32" t="str">
        <x:v>A team has 40 people in a ratio of 3 trainees for every 2 mentors. How many trainees are there?</x:v>
      </x:c>
      <x:c r="E14" s="32" t="str">
        <x:v>Single select</x:v>
      </x:c>
      <x:c r="F14" s="32" t="str">
        <x:v>Objective</x:v>
      </x:c>
      <x:c r="G14" s="32" t="str">
        <x:v>C01 — Analytical and Numerical Ability</x:v>
      </x:c>
      <x:c r="H14" s="32" t="str">
        <x:v>C05 — Problem-Solving</x:v>
      </x:c>
      <x:c r="I14" s="32" t="str">
        <x:v>A. 16
B. 20
C. 24
D. 30</x:v>
      </x:c>
      <x:c r="J14" s="32" t="str">
        <x:v>A=0 | B=1 | C=4 | D=0</x:v>
      </x:c>
      <x:c r="K14" s="45" t="n">
        <x:v>4</x:v>
      </x:c>
      <x:c r="L14" s="45" t="str">
        <x:v>Yes</x:v>
      </x:c>
      <x:c r="M14" s="32" t="str"/>
    </x:row>
    <x:row r="15" ht="92" customHeight="1">
      <x:c r="A15" s="28" t="str">
        <x:v>A005</x:v>
      </x:c>
      <x:c r="B15" s="44" t="n">
        <x:v>11</x:v>
      </x:c>
      <x:c r="C15" s="28" t="str">
        <x:v>Analytical &amp; Numerical</x:v>
      </x:c>
      <x:c r="D15" s="28" t="str">
        <x:v>What number comes next in the sequence: 4, 7, 13, 22, 34, ___?</x:v>
      </x:c>
      <x:c r="E15" s="28" t="str">
        <x:v>Single select</x:v>
      </x:c>
      <x:c r="F15" s="28" t="str">
        <x:v>Objective</x:v>
      </x:c>
      <x:c r="G15" s="28" t="str">
        <x:v>C01 — Analytical and Numerical Ability</x:v>
      </x:c>
      <x:c r="H15" s="28" t="str">
        <x:v>C05 — Problem-Solving</x:v>
      </x:c>
      <x:c r="I15" s="28" t="str">
        <x:v>A. 43
B. 46
C. 49
D. 52</x:v>
      </x:c>
      <x:c r="J15" s="28" t="str">
        <x:v>A=0 | B=1 | C=4 | D=0</x:v>
      </x:c>
      <x:c r="K15" s="44" t="n">
        <x:v>4</x:v>
      </x:c>
      <x:c r="L15" s="44" t="str">
        <x:v>Yes</x:v>
      </x:c>
      <x:c r="M15" s="28" t="str"/>
    </x:row>
    <x:row r="16" ht="92" customHeight="1">
      <x:c r="A16" s="32" t="str">
        <x:v>A006</x:v>
      </x:c>
      <x:c r="B16" s="45" t="n">
        <x:v>12</x:v>
      </x:c>
      <x:c r="C16" s="32" t="str">
        <x:v>Analytical &amp; Numerical</x:v>
      </x:c>
      <x:c r="D16" s="32" t="str">
        <x:v>Applications received were: January 120, February 150 and March 135. Which month-to-month change was the largest?</x:v>
      </x:c>
      <x:c r="E16" s="32" t="str">
        <x:v>Single select</x:v>
      </x:c>
      <x:c r="F16" s="32" t="str">
        <x:v>Objective</x:v>
      </x:c>
      <x:c r="G16" s="32" t="str">
        <x:v>C01 — Analytical and Numerical Ability</x:v>
      </x:c>
      <x:c r="H16" s="32" t="str">
        <x:v>C05 — Problem-Solving</x:v>
      </x:c>
      <x:c r="I16" s="32" t="str">
        <x:v>A. January to February: increase of 30
B. February to March: decrease of 15
C. January to March: increase of 15
D. All changes were equal</x:v>
      </x:c>
      <x:c r="J16" s="32" t="str">
        <x:v>A=4 | B=1 | C=0 | D=0</x:v>
      </x:c>
      <x:c r="K16" s="45" t="n">
        <x:v>4</x:v>
      </x:c>
      <x:c r="L16" s="45" t="str">
        <x:v>Yes</x:v>
      </x:c>
      <x:c r="M16" s="32" t="str"/>
    </x:row>
    <x:row r="17" ht="92" customHeight="1">
      <x:c r="A17" s="28" t="str">
        <x:v>A007</x:v>
      </x:c>
      <x:c r="B17" s="44" t="n">
        <x:v>13</x:v>
      </x:c>
      <x:c r="C17" s="28" t="str">
        <x:v>Analytical &amp; Numerical</x:v>
      </x:c>
      <x:c r="D17" s="28" t="str">
        <x:v>A project budget is R5,000. If 38% has been spent, how much has been spent?</x:v>
      </x:c>
      <x:c r="E17" s="28" t="str">
        <x:v>Single select</x:v>
      </x:c>
      <x:c r="F17" s="28" t="str">
        <x:v>Objective</x:v>
      </x:c>
      <x:c r="G17" s="28" t="str">
        <x:v>C01 — Analytical and Numerical Ability</x:v>
      </x:c>
      <x:c r="H17" s="28" t="str">
        <x:v>C04 — Organisation and Attention to Detail</x:v>
      </x:c>
      <x:c r="I17" s="28" t="str">
        <x:v>A. R1,500
B. R1,800
C. R1,900
D. R3,100</x:v>
      </x:c>
      <x:c r="J17" s="28" t="str">
        <x:v>A=0 | B=1 | C=4 | D=0</x:v>
      </x:c>
      <x:c r="K17" s="44" t="n">
        <x:v>4</x:v>
      </x:c>
      <x:c r="L17" s="44" t="str">
        <x:v>Yes</x:v>
      </x:c>
      <x:c r="M17" s="28" t="str"/>
    </x:row>
    <x:row r="18" ht="92" customHeight="1">
      <x:c r="A18" s="32" t="str">
        <x:v>A008</x:v>
      </x:c>
      <x:c r="B18" s="45" t="n">
        <x:v>14</x:v>
      </x:c>
      <x:c r="C18" s="32" t="str">
        <x:v>Analytical &amp; Numerical</x:v>
      </x:c>
      <x:c r="D18" s="32" t="str">
        <x:v>Six people complete a task in four hours at the same working rate. How long would eight people take?</x:v>
      </x:c>
      <x:c r="E18" s="32" t="str">
        <x:v>Single select</x:v>
      </x:c>
      <x:c r="F18" s="32" t="str">
        <x:v>Objective</x:v>
      </x:c>
      <x:c r="G18" s="32" t="str">
        <x:v>C01 — Analytical and Numerical Ability</x:v>
      </x:c>
      <x:c r="H18" s="32" t="str">
        <x:v>C05 — Problem-Solving</x:v>
      </x:c>
      <x:c r="I18" s="32" t="str">
        <x:v>A. 2 hours
B. 3 hours
C. 4 hours
D. 6 hours</x:v>
      </x:c>
      <x:c r="J18" s="32" t="str">
        <x:v>A=1 | B=4 | C=0 | D=0</x:v>
      </x:c>
      <x:c r="K18" s="45" t="n">
        <x:v>4</x:v>
      </x:c>
      <x:c r="L18" s="45" t="str">
        <x:v>Yes</x:v>
      </x:c>
      <x:c r="M18" s="32" t="str"/>
    </x:row>
    <x:row r="19" ht="92" customHeight="1">
      <x:c r="A19" s="28" t="str">
        <x:v>A009</x:v>
      </x:c>
      <x:c r="B19" s="44" t="n">
        <x:v>15</x:v>
      </x:c>
      <x:c r="C19" s="28" t="str">
        <x:v>Analytical &amp; Numerical</x:v>
      </x:c>
      <x:c r="D19" s="28" t="str">
        <x:v>Which value is the smallest?</x:v>
      </x:c>
      <x:c r="E19" s="28" t="str">
        <x:v>Single select</x:v>
      </x:c>
      <x:c r="F19" s="28" t="str">
        <x:v>Objective</x:v>
      </x:c>
      <x:c r="G19" s="28" t="str">
        <x:v>C01 — Analytical and Numerical Ability</x:v>
      </x:c>
      <x:c r="H19" s="28" t="str">
        <x:v>C04 — Organisation and Attention to Detail</x:v>
      </x:c>
      <x:c r="I19" s="28" t="str">
        <x:v>A. 0.65
B. 2/3
C. 68%
D. 0.70</x:v>
      </x:c>
      <x:c r="J19" s="28" t="str">
        <x:v>A=4 | B=1 | C=0 | D=0</x:v>
      </x:c>
      <x:c r="K19" s="44" t="n">
        <x:v>4</x:v>
      </x:c>
      <x:c r="L19" s="44" t="str">
        <x:v>Yes</x:v>
      </x:c>
      <x:c r="M19" s="28" t="str"/>
    </x:row>
    <x:row r="20" ht="92" customHeight="1">
      <x:c r="A20" s="32" t="str">
        <x:v>A010</x:v>
      </x:c>
      <x:c r="B20" s="45" t="n">
        <x:v>16</x:v>
      </x:c>
      <x:c r="C20" s="32" t="str">
        <x:v>Analytical &amp; Numerical</x:v>
      </x:c>
      <x:c r="D20" s="32" t="str">
        <x:v>A data set contains 12 incorrect records out of 300 records. What is the error rate?</x:v>
      </x:c>
      <x:c r="E20" s="32" t="str">
        <x:v>Single select</x:v>
      </x:c>
      <x:c r="F20" s="32" t="str">
        <x:v>Objective</x:v>
      </x:c>
      <x:c r="G20" s="32" t="str">
        <x:v>C01 — Analytical and Numerical Ability</x:v>
      </x:c>
      <x:c r="H20" s="32" t="str">
        <x:v>C04 — Organisation and Attention to Detail</x:v>
      </x:c>
      <x:c r="I20" s="32" t="str">
        <x:v>A. 2%
B. 4%
C. 12%
D. 25%</x:v>
      </x:c>
      <x:c r="J20" s="32" t="str">
        <x:v>A=0 | B=4 | C=0 | D=0</x:v>
      </x:c>
      <x:c r="K20" s="45" t="n">
        <x:v>4</x:v>
      </x:c>
      <x:c r="L20" s="45" t="str">
        <x:v>Yes</x:v>
      </x:c>
      <x:c r="M20" s="32" t="str"/>
    </x:row>
    <x:row r="21" ht="92" customHeight="1">
      <x:c r="A21" s="28" t="str">
        <x:v>D001</x:v>
      </x:c>
      <x:c r="B21" s="44" t="n">
        <x:v>17</x:v>
      </x:c>
      <x:c r="C21" s="28" t="str">
        <x:v>Digital &amp; Technical</x:v>
      </x:c>
      <x:c r="D21" s="28" t="str">
        <x:v>Which password is the strongest?</x:v>
      </x:c>
      <x:c r="E21" s="28" t="str">
        <x:v>Single select</x:v>
      </x:c>
      <x:c r="F21" s="28" t="str">
        <x:v>Objective</x:v>
      </x:c>
      <x:c r="G21" s="28" t="str">
        <x:v>C02 — Digital and Technical Ability</x:v>
      </x:c>
      <x:c r="H21" s="28" t="str">
        <x:v>C04 — Organisation and Attention to Detail</x:v>
      </x:c>
      <x:c r="I21" s="28" t="str">
        <x:v>A. Password123
B. Abdul2026
C. Blue!River7-Mango#29
D. 1234567890</x:v>
      </x:c>
      <x:c r="J21" s="28" t="str">
        <x:v>A=0 | B=0 | C=4 | D=0</x:v>
      </x:c>
      <x:c r="K21" s="44" t="n">
        <x:v>4</x:v>
      </x:c>
      <x:c r="L21" s="44" t="str">
        <x:v>Yes</x:v>
      </x:c>
      <x:c r="M21" s="28" t="str"/>
    </x:row>
    <x:row r="22" ht="92" customHeight="1">
      <x:c r="A22" s="32" t="str">
        <x:v>D002</x:v>
      </x:c>
      <x:c r="B22" s="45" t="n">
        <x:v>18</x:v>
      </x:c>
      <x:c r="C22" s="32" t="str">
        <x:v>Digital &amp; Technical</x:v>
      </x:c>
      <x:c r="D22" s="32" t="str">
        <x:v>What is the main purpose of a filter in a spreadsheet?</x:v>
      </x:c>
      <x:c r="E22" s="32" t="str">
        <x:v>Single select</x:v>
      </x:c>
      <x:c r="F22" s="32" t="str">
        <x:v>Objective</x:v>
      </x:c>
      <x:c r="G22" s="32" t="str">
        <x:v>C02 — Digital and Technical Ability</x:v>
      </x:c>
      <x:c r="H22" s="32" t="str">
        <x:v>C05 — Problem-Solving</x:v>
      </x:c>
      <x:c r="I22" s="32" t="str">
        <x:v>A. To permanently delete rows
B. To show only records that meet selected conditions
C. To change all formulas
D. To lock the spreadsheet</x:v>
      </x:c>
      <x:c r="J22" s="32" t="str">
        <x:v>A=0 | B=4 | C=0 | D=0</x:v>
      </x:c>
      <x:c r="K22" s="45" t="n">
        <x:v>4</x:v>
      </x:c>
      <x:c r="L22" s="45" t="str">
        <x:v>Yes</x:v>
      </x:c>
      <x:c r="M22" s="32" t="str"/>
    </x:row>
    <x:row r="23" ht="92" customHeight="1">
      <x:c r="A23" s="28" t="str">
        <x:v>D003</x:v>
      </x:c>
      <x:c r="B23" s="44" t="n">
        <x:v>19</x:v>
      </x:c>
      <x:c r="C23" s="28" t="str">
        <x:v>Digital &amp; Technical</x:v>
      </x:c>
      <x:c r="D23" s="28" t="str">
        <x:v>You receive an unexpected email asking you to open a link and confirm your password. What should you do first?</x:v>
      </x:c>
      <x:c r="E23" s="28" t="str">
        <x:v>Single select</x:v>
      </x:c>
      <x:c r="F23" s="28" t="str">
        <x:v>Objective</x:v>
      </x:c>
      <x:c r="G23" s="28" t="str">
        <x:v>C02 — Digital and Technical Ability</x:v>
      </x:c>
      <x:c r="H23" s="28" t="str">
        <x:v>C05 — Problem-Solving</x:v>
      </x:c>
      <x:c r="I23" s="28" t="str">
        <x:v>A. Open the link quickly before it expires
B. Reply with your password
C. Verify the sender through a trusted channel and report the message if suspicious
D. Forward it to colleagues to ask whether it is safe</x:v>
      </x:c>
      <x:c r="J23" s="28" t="str">
        <x:v>A=0 | B=0 | C=4 | D=1</x:v>
      </x:c>
      <x:c r="K23" s="44" t="n">
        <x:v>4</x:v>
      </x:c>
      <x:c r="L23" s="44" t="str">
        <x:v>Yes</x:v>
      </x:c>
      <x:c r="M23" s="28" t="str"/>
    </x:row>
    <x:row r="24" ht="92" customHeight="1">
      <x:c r="A24" s="32" t="str">
        <x:v>D004</x:v>
      </x:c>
      <x:c r="B24" s="45" t="n">
        <x:v>20</x:v>
      </x:c>
      <x:c r="C24" s="32" t="str">
        <x:v>Digital &amp; Technical</x:v>
      </x:c>
      <x:c r="D24" s="32" t="str">
        <x:v>Which is a practical benefit of storing an approved work file in cloud storage?</x:v>
      </x:c>
      <x:c r="E24" s="32" t="str">
        <x:v>Single select</x:v>
      </x:c>
      <x:c r="F24" s="32" t="str">
        <x:v>Objective</x:v>
      </x:c>
      <x:c r="G24" s="32" t="str">
        <x:v>C02 — Digital and Technical Ability</x:v>
      </x:c>
      <x:c r="H24" s="32" t="str">
        <x:v>C04 — Organisation and Attention to Detail</x:v>
      </x:c>
      <x:c r="I24" s="32" t="str">
        <x:v>A. It can be accessed and version-controlled by authorised users
B. It can never be deleted
C. It automatically makes all information public
D. It removes the need for passwords</x:v>
      </x:c>
      <x:c r="J24" s="32" t="str">
        <x:v>A=4 | B=0 | C=0 | D=0</x:v>
      </x:c>
      <x:c r="K24" s="45" t="n">
        <x:v>4</x:v>
      </x:c>
      <x:c r="L24" s="45" t="str">
        <x:v>Yes</x:v>
      </x:c>
      <x:c r="M24" s="32" t="str"/>
    </x:row>
    <x:row r="25" ht="92" customHeight="1">
      <x:c r="A25" s="28" t="str">
        <x:v>D005</x:v>
      </x:c>
      <x:c r="B25" s="44" t="n">
        <x:v>21</x:v>
      </x:c>
      <x:c r="C25" s="28" t="str">
        <x:v>Digital &amp; Technical</x:v>
      </x:c>
      <x:c r="D25" s="28" t="str">
        <x:v>A laptop cannot connect to Wi-Fi, while other devices can. What is the best first check?</x:v>
      </x:c>
      <x:c r="E25" s="28" t="str">
        <x:v>Single select</x:v>
      </x:c>
      <x:c r="F25" s="28" t="str">
        <x:v>Objective</x:v>
      </x:c>
      <x:c r="G25" s="28" t="str">
        <x:v>C02 — Digital and Technical Ability</x:v>
      </x:c>
      <x:c r="H25" s="28" t="str">
        <x:v>C05 — Problem-Solving</x:v>
      </x:c>
      <x:c r="I25" s="28" t="str">
        <x:v>A. Replace the laptop immediately
B. Check whether Wi-Fi or airplane mode is disabled on the laptop
C. Delete all files
D. Reset the office router without informing anyone</x:v>
      </x:c>
      <x:c r="J25" s="28" t="str">
        <x:v>A=0 | B=4 | C=0 | D=1</x:v>
      </x:c>
      <x:c r="K25" s="44" t="n">
        <x:v>4</x:v>
      </x:c>
      <x:c r="L25" s="44" t="str">
        <x:v>Yes</x:v>
      </x:c>
      <x:c r="M25" s="28" t="str"/>
    </x:row>
    <x:row r="26" ht="92" customHeight="1">
      <x:c r="A26" s="32" t="str">
        <x:v>D006</x:v>
      </x:c>
      <x:c r="B26" s="45" t="n">
        <x:v>22</x:v>
      </x:c>
      <x:c r="C26" s="32" t="str">
        <x:v>Digital &amp; Technical</x:v>
      </x:c>
      <x:c r="D26" s="32" t="str">
        <x:v>Which spreadsheet formula correctly adds the values in cells A1 to A5?</x:v>
      </x:c>
      <x:c r="E26" s="32" t="str">
        <x:v>Single select</x:v>
      </x:c>
      <x:c r="F26" s="32" t="str">
        <x:v>Objective</x:v>
      </x:c>
      <x:c r="G26" s="32" t="str">
        <x:v>C02 — Digital and Technical Ability</x:v>
      </x:c>
      <x:c r="H26" s="32" t="str">
        <x:v>C01 — Analytical and Numerical Ability</x:v>
      </x:c>
      <x:c r="I26" s="32" t="str">
        <x:v>A. =ADD(A1-A5)
B. =SUM(A1:A5)
C. =TOTAL(A1;A5)
D. =A1:A5</x:v>
      </x:c>
      <x:c r="J26" s="32" t="str">
        <x:v>A=0 | B=4 | C=0 | D=0</x:v>
      </x:c>
      <x:c r="K26" s="45" t="n">
        <x:v>4</x:v>
      </x:c>
      <x:c r="L26" s="45" t="str">
        <x:v>Yes</x:v>
      </x:c>
      <x:c r="M26" s="32" t="str"/>
    </x:row>
    <x:row r="27" ht="92" customHeight="1">
      <x:c r="A27" s="28" t="str">
        <x:v>D007</x:v>
      </x:c>
      <x:c r="B27" s="44" t="n">
        <x:v>23</x:v>
      </x:c>
      <x:c r="C27" s="28" t="str">
        <x:v>Digital &amp; Technical</x:v>
      </x:c>
      <x:c r="D27" s="28" t="str">
        <x:v>Which filename is easiest for a team to identify and manage?</x:v>
      </x:c>
      <x:c r="E27" s="28" t="str">
        <x:v>Single select</x:v>
      </x:c>
      <x:c r="F27" s="28" t="str">
        <x:v>Objective</x:v>
      </x:c>
      <x:c r="G27" s="28" t="str">
        <x:v>C02 — Digital and Technical Ability</x:v>
      </x:c>
      <x:c r="H27" s="28" t="str">
        <x:v>C04 — Organisation and Attention to Detail</x:v>
      </x:c>
      <x:c r="I27" s="28" t="str">
        <x:v>A. document final latest NEW.docx
B. Report.docx
C. 2026-07-14_Attendance_Report_v1.0.docx
D. asdf123.docx</x:v>
      </x:c>
      <x:c r="J27" s="28" t="str">
        <x:v>A=0 | B=1 | C=4 | D=0</x:v>
      </x:c>
      <x:c r="K27" s="44" t="n">
        <x:v>4</x:v>
      </x:c>
      <x:c r="L27" s="44" t="str">
        <x:v>Yes</x:v>
      </x:c>
      <x:c r="M27" s="28" t="str"/>
    </x:row>
    <x:row r="28" ht="92" customHeight="1">
      <x:c r="A28" s="32" t="str">
        <x:v>D008</x:v>
      </x:c>
      <x:c r="B28" s="45" t="n">
        <x:v>24</x:v>
      </x:c>
      <x:c r="C28" s="32" t="str">
        <x:v>Digital &amp; Technical</x:v>
      </x:c>
      <x:c r="D28" s="32" t="str">
        <x:v>A colleague asks you to send participant personal information to their private email address. What should you do?</x:v>
      </x:c>
      <x:c r="E28" s="32" t="str">
        <x:v>Single select</x:v>
      </x:c>
      <x:c r="F28" s="32" t="str">
        <x:v>Objective</x:v>
      </x:c>
      <x:c r="G28" s="32" t="str">
        <x:v>C02 — Digital and Technical Ability</x:v>
      </x:c>
      <x:c r="H28" s="32" t="str">
        <x:v>C08 — Conflict Management and Emotional Regulation</x:v>
      </x:c>
      <x:c r="I28" s="32" t="str">
        <x:v>A. Send it because the colleague works with you
B. Check the approved data-sharing process and use only an authorised account or channel
C. Post it in the team group for convenience
D. Remove the participant names and send everything else without checking</x:v>
      </x:c>
      <x:c r="J28" s="32" t="str">
        <x:v>A=0 | B=4 | C=0 | D=1</x:v>
      </x:c>
      <x:c r="K28" s="45" t="n">
        <x:v>4</x:v>
      </x:c>
      <x:c r="L28" s="45" t="str">
        <x:v>Yes</x:v>
      </x:c>
      <x:c r="M28" s="32" t="str"/>
    </x:row>
    <x:row r="29" ht="92" customHeight="1">
      <x:c r="A29" s="28" t="str">
        <x:v>C001</x:v>
      </x:c>
      <x:c r="B29" s="44" t="n">
        <x:v>25</x:v>
      </x:c>
      <x:c r="C29" s="28" t="str">
        <x:v>Communication</x:v>
      </x:c>
      <x:c r="D29" s="28" t="str">
        <x:v>Which email subject line is clearest?</x:v>
      </x:c>
      <x:c r="E29" s="28" t="str">
        <x:v>Single select</x:v>
      </x:c>
      <x:c r="F29" s="28" t="str">
        <x:v>Objective</x:v>
      </x:c>
      <x:c r="G29" s="28" t="str">
        <x:v>C03 — Communication</x:v>
      </x:c>
      <x:c r="H29" s="28" t="str">
        <x:v>C04 — Organisation and Attention to Detail</x:v>
      </x:c>
      <x:c r="I29" s="28" t="str">
        <x:v>A. Hello
B. Important
C. Action required: submit attendance by 15:00 Friday
D. Please read this when you can</x:v>
      </x:c>
      <x:c r="J29" s="28" t="str">
        <x:v>A=0 | B=1 | C=4 | D=1</x:v>
      </x:c>
      <x:c r="K29" s="44" t="n">
        <x:v>4</x:v>
      </x:c>
      <x:c r="L29" s="44" t="str">
        <x:v>Yes</x:v>
      </x:c>
      <x:c r="M29" s="28" t="str"/>
    </x:row>
    <x:row r="30" ht="92" customHeight="1">
      <x:c r="A30" s="32" t="str">
        <x:v>C002</x:v>
      </x:c>
      <x:c r="B30" s="45" t="n">
        <x:v>26</x:v>
      </x:c>
      <x:c r="C30" s="32" t="str">
        <x:v>Communication</x:v>
      </x:c>
      <x:c r="D30" s="32" t="str">
        <x:v>A manager says, “Please finish the report soon,” but gives no deadline or format. What is the best response?</x:v>
      </x:c>
      <x:c r="E30" s="32" t="str">
        <x:v>Single select</x:v>
      </x:c>
      <x:c r="F30" s="32" t="str">
        <x:v>Judgement</x:v>
      </x:c>
      <x:c r="G30" s="32" t="str">
        <x:v>C03 — Communication</x:v>
      </x:c>
      <x:c r="H30" s="32" t="str">
        <x:v>C05 — Problem-Solving</x:v>
      </x:c>
      <x:c r="I30" s="32" t="str">
        <x:v>A. Assume the deadline and submit whatever you can
B. Ask for the required deadline, format and priority before proceeding
C. Wait until the manager asks again
D. Tell the manager the instruction is bad</x:v>
      </x:c>
      <x:c r="J30" s="32" t="str">
        <x:v>A=1 | B=4 | C=0 | D=0</x:v>
      </x:c>
      <x:c r="K30" s="45" t="n">
        <x:v>4</x:v>
      </x:c>
      <x:c r="L30" s="45" t="str">
        <x:v>Yes</x:v>
      </x:c>
      <x:c r="M30" s="32" t="str"/>
    </x:row>
    <x:row r="31" ht="92" customHeight="1">
      <x:c r="A31" s="28" t="str">
        <x:v>C003</x:v>
      </x:c>
      <x:c r="B31" s="44" t="n">
        <x:v>27</x:v>
      </x:c>
      <x:c r="C31" s="28" t="str">
        <x:v>Communication</x:v>
      </x:c>
      <x:c r="D31" s="28" t="str">
        <x:v>Which project update is most useful to a manager?</x:v>
      </x:c>
      <x:c r="E31" s="28" t="str">
        <x:v>Single select</x:v>
      </x:c>
      <x:c r="F31" s="28" t="str">
        <x:v>Objective</x:v>
      </x:c>
      <x:c r="G31" s="28" t="str">
        <x:v>C03 — Communication</x:v>
      </x:c>
      <x:c r="H31" s="28" t="str">
        <x:v>C04 — Organisation and Attention to Detail</x:v>
      </x:c>
      <x:c r="I31" s="28" t="str">
        <x:v>A. We are busy with it.
B. The project is going fine, I think.
C. Data collection is 80% complete; five responses are outstanding; follow-up is due by 14:00 tomorrow.
D. There have been many things happening.</x:v>
      </x:c>
      <x:c r="J31" s="28" t="str">
        <x:v>A=0 | B=1 | C=4 | D=0</x:v>
      </x:c>
      <x:c r="K31" s="44" t="n">
        <x:v>4</x:v>
      </x:c>
      <x:c r="L31" s="44" t="str">
        <x:v>Yes</x:v>
      </x:c>
      <x:c r="M31" s="28" t="str"/>
    </x:row>
    <x:row r="32" ht="92" customHeight="1">
      <x:c r="A32" s="32" t="str">
        <x:v>C004</x:v>
      </x:c>
      <x:c r="B32" s="45" t="n">
        <x:v>28</x:v>
      </x:c>
      <x:c r="C32" s="32" t="str">
        <x:v>Communication</x:v>
      </x:c>
      <x:c r="D32" s="32" t="str">
        <x:v>A participant explains a problem but appears frustrated. What response best demonstrates active listening?</x:v>
      </x:c>
      <x:c r="E32" s="32" t="str">
        <x:v>Single select</x:v>
      </x:c>
      <x:c r="F32" s="32" t="str">
        <x:v>Judgement</x:v>
      </x:c>
      <x:c r="G32" s="32" t="str">
        <x:v>C03 — Communication</x:v>
      </x:c>
      <x:c r="H32" s="32" t="str">
        <x:v>C06 — People and Teamwork</x:v>
      </x:c>
      <x:c r="I32" s="32" t="str">
        <x:v>A. Interrupt and explain the policy immediately
B. Say “calm down” and continue working
C. Summarise what you heard, confirm the key issue and ask what outcome they need
D. Refer them elsewhere without listening further</x:v>
      </x:c>
      <x:c r="J32" s="32" t="str">
        <x:v>A=0 | B=0 | C=4 | D=1</x:v>
      </x:c>
      <x:c r="K32" s="45" t="n">
        <x:v>4</x:v>
      </x:c>
      <x:c r="L32" s="45" t="str">
        <x:v>Yes</x:v>
      </x:c>
      <x:c r="M32" s="32" t="str"/>
    </x:row>
    <x:row r="33" ht="92" customHeight="1">
      <x:c r="A33" s="28" t="str">
        <x:v>C005</x:v>
      </x:c>
      <x:c r="B33" s="44" t="n">
        <x:v>29</x:v>
      </x:c>
      <x:c r="C33" s="28" t="str">
        <x:v>Communication</x:v>
      </x:c>
      <x:c r="D33" s="28" t="str">
        <x:v>You cannot meet a colleague’s requested deadline. What is the most professional response?</x:v>
      </x:c>
      <x:c r="E33" s="28" t="str">
        <x:v>Single select</x:v>
      </x:c>
      <x:c r="F33" s="28" t="str">
        <x:v>Judgement</x:v>
      </x:c>
      <x:c r="G33" s="28" t="str">
        <x:v>C03 — Communication</x:v>
      </x:c>
      <x:c r="H33" s="28" t="str">
        <x:v>C08 — Conflict Management and Emotional Regulation</x:v>
      </x:c>
      <x:c r="I33" s="28" t="str">
        <x:v>A. Ignore the message until the deadline passes
B. Agree even though you know it is impossible
C. Explain the constraint early, propose a realistic time and agree the priority
D. Tell them their request is unreasonable</x:v>
      </x:c>
      <x:c r="J33" s="28" t="str">
        <x:v>A=0 | B=0 | C=4 | D=1</x:v>
      </x:c>
      <x:c r="K33" s="44" t="n">
        <x:v>4</x:v>
      </x:c>
      <x:c r="L33" s="44" t="str">
        <x:v>Yes</x:v>
      </x:c>
      <x:c r="M33" s="28" t="str"/>
    </x:row>
    <x:row r="34" ht="92" customHeight="1">
      <x:c r="A34" s="32" t="str">
        <x:v>C006</x:v>
      </x:c>
      <x:c r="B34" s="45" t="n">
        <x:v>30</x:v>
      </x:c>
      <x:c r="C34" s="32" t="str">
        <x:v>Communication</x:v>
      </x:c>
      <x:c r="D34" s="32" t="str">
        <x:v>Which instruction is easiest to follow?</x:v>
      </x:c>
      <x:c r="E34" s="32" t="str">
        <x:v>Single select</x:v>
      </x:c>
      <x:c r="F34" s="32" t="str">
        <x:v>Objective</x:v>
      </x:c>
      <x:c r="G34" s="32" t="str">
        <x:v>C03 — Communication</x:v>
      </x:c>
      <x:c r="H34" s="32" t="str">
        <x:v>C04 — Organisation and Attention to Detail</x:v>
      </x:c>
      <x:c r="I34" s="32" t="str">
        <x:v>A. Fix the spreadsheet.
B. Please sort out the data properly.
C. Remove duplicate rows, standardise supplier names, then save the file as v2 by 12:00.
D. Do what we discussed.</x:v>
      </x:c>
      <x:c r="J34" s="32" t="str">
        <x:v>A=0 | B=1 | C=4 | D=0</x:v>
      </x:c>
      <x:c r="K34" s="45" t="n">
        <x:v>4</x:v>
      </x:c>
      <x:c r="L34" s="45" t="str">
        <x:v>Yes</x:v>
      </x:c>
      <x:c r="M34" s="32" t="str"/>
    </x:row>
    <x:row r="35" ht="92" customHeight="1">
      <x:c r="A35" s="28" t="str">
        <x:v>O001</x:v>
      </x:c>
      <x:c r="B35" s="44" t="n">
        <x:v>31</x:v>
      </x:c>
      <x:c r="C35" s="28" t="str">
        <x:v>Organisation &amp; Problem-Solving</x:v>
      </x:c>
      <x:c r="D35" s="28" t="str">
        <x:v>You have four tasks: resolve a customer access problem due today, submit a report tomorrow, complete routine filing this week and watch optional training. What should you do first?</x:v>
      </x:c>
      <x:c r="E35" s="28" t="str">
        <x:v>Single select</x:v>
      </x:c>
      <x:c r="F35" s="28" t="str">
        <x:v>Judgement</x:v>
      </x:c>
      <x:c r="G35" s="28" t="str">
        <x:v>C04 — Organisation and Attention to Detail</x:v>
      </x:c>
      <x:c r="H35" s="28" t="str">
        <x:v>C05 — Problem-Solving</x:v>
      </x:c>
      <x:c r="I35" s="28" t="str">
        <x:v>A. Watch the optional training
B. Complete routine filing
C. Resolve the customer access problem due today
D. Start the report due tomorrow without checking the access problem</x:v>
      </x:c>
      <x:c r="J35" s="28" t="str">
        <x:v>A=0 | B=1 | C=4 | D=2</x:v>
      </x:c>
      <x:c r="K35" s="44" t="n">
        <x:v>4</x:v>
      </x:c>
      <x:c r="L35" s="44" t="str">
        <x:v>Yes</x:v>
      </x:c>
      <x:c r="M35" s="28" t="str"/>
    </x:row>
    <x:row r="36" ht="92" customHeight="1">
      <x:c r="A36" s="32" t="str">
        <x:v>O002</x:v>
      </x:c>
      <x:c r="B36" s="45" t="n">
        <x:v>32</x:v>
      </x:c>
      <x:c r="C36" s="32" t="str">
        <x:v>Organisation &amp; Problem-Solving</x:v>
      </x:c>
      <x:c r="D36" s="32" t="str">
        <x:v>A spreadsheet contains duplicate customers with slightly different spellings. What is the best first step?</x:v>
      </x:c>
      <x:c r="E36" s="32" t="str">
        <x:v>Single select</x:v>
      </x:c>
      <x:c r="F36" s="32" t="str">
        <x:v>Judgement</x:v>
      </x:c>
      <x:c r="G36" s="32" t="str">
        <x:v>C05 — Problem-Solving</x:v>
      </x:c>
      <x:c r="H36" s="32" t="str">
        <x:v>C04 — Organisation and Attention to Detail</x:v>
      </x:c>
      <x:c r="I36" s="32" t="str">
        <x:v>A. Delete every repeated-looking row immediately
B. Identify likely matches using agreed fields, verify them and then standardise the records
C. Leave the duplicates because the spellings differ
D. Sort the sheet by colour</x:v>
      </x:c>
      <x:c r="J36" s="32" t="str">
        <x:v>A=1 | B=4 | C=0 | D=0</x:v>
      </x:c>
      <x:c r="K36" s="45" t="n">
        <x:v>4</x:v>
      </x:c>
      <x:c r="L36" s="45" t="str">
        <x:v>Yes</x:v>
      </x:c>
      <x:c r="M36" s="32" t="str"/>
    </x:row>
    <x:row r="37" ht="92" customHeight="1">
      <x:c r="A37" s="28" t="str">
        <x:v>O003</x:v>
      </x:c>
      <x:c r="B37" s="44" t="n">
        <x:v>33</x:v>
      </x:c>
      <x:c r="C37" s="28" t="str">
        <x:v>Organisation &amp; Problem-Solving</x:v>
      </x:c>
      <x:c r="D37" s="28" t="str">
        <x:v>A task is due today, but an essential figure is missing. What should you do?</x:v>
      </x:c>
      <x:c r="E37" s="28" t="str">
        <x:v>Single select</x:v>
      </x:c>
      <x:c r="F37" s="28" t="str">
        <x:v>Judgement</x:v>
      </x:c>
      <x:c r="G37" s="28" t="str">
        <x:v>C05 — Problem-Solving</x:v>
      </x:c>
      <x:c r="H37" s="28" t="str">
        <x:v>C03 — Communication</x:v>
      </x:c>
      <x:c r="I37" s="28" t="str">
        <x:v>A. Invent a reasonable figure
B. Submit without mentioning the gap
C. Request the missing information immediately, explain the deadline risk and prepare the rest of the work
D. Wait silently until the information arrives</x:v>
      </x:c>
      <x:c r="J37" s="28" t="str">
        <x:v>A=0 | B=0 | C=4 | D=1</x:v>
      </x:c>
      <x:c r="K37" s="44" t="n">
        <x:v>4</x:v>
      </x:c>
      <x:c r="L37" s="44" t="str">
        <x:v>Yes</x:v>
      </x:c>
      <x:c r="M37" s="28" t="str"/>
    </x:row>
    <x:row r="38" ht="92" customHeight="1">
      <x:c r="A38" s="32" t="str">
        <x:v>O004</x:v>
      </x:c>
      <x:c r="B38" s="45" t="n">
        <x:v>34</x:v>
      </x:c>
      <x:c r="C38" s="32" t="str">
        <x:v>Organisation &amp; Problem-Solving</x:v>
      </x:c>
      <x:c r="D38" s="32" t="str">
        <x:v>The same type of data error appears every week. What is the strongest response?</x:v>
      </x:c>
      <x:c r="E38" s="32" t="str">
        <x:v>Single select</x:v>
      </x:c>
      <x:c r="F38" s="32" t="str">
        <x:v>Judgement</x:v>
      </x:c>
      <x:c r="G38" s="32" t="str">
        <x:v>C05 — Problem-Solving</x:v>
      </x:c>
      <x:c r="H38" s="32" t="str">
        <x:v>C04 — Organisation and Attention to Detail</x:v>
      </x:c>
      <x:c r="I38" s="32" t="str">
        <x:v>A. Correct each error without recording the cause
B. Identify where the error enters the process, correct the control and monitor whether it stops recurring
C. Blame the person who entered the latest error
D. Ignore small errors</x:v>
      </x:c>
      <x:c r="J38" s="32" t="str">
        <x:v>A=1 | B=4 | C=0 | D=0</x:v>
      </x:c>
      <x:c r="K38" s="45" t="n">
        <x:v>4</x:v>
      </x:c>
      <x:c r="L38" s="45" t="str">
        <x:v>Yes</x:v>
      </x:c>
      <x:c r="M38" s="32" t="str"/>
    </x:row>
    <x:row r="39" ht="92" customHeight="1">
      <x:c r="A39" s="28" t="str">
        <x:v>O005</x:v>
      </x:c>
      <x:c r="B39" s="44" t="n">
        <x:v>35</x:v>
      </x:c>
      <x:c r="C39" s="28" t="str">
        <x:v>Organisation &amp; Problem-Solving</x:v>
      </x:c>
      <x:c r="D39" s="28" t="str">
        <x:v>A project is repeatedly delayed at the approval stage. What should be investigated first?</x:v>
      </x:c>
      <x:c r="E39" s="28" t="str">
        <x:v>Single select</x:v>
      </x:c>
      <x:c r="F39" s="28" t="str">
        <x:v>Judgement</x:v>
      </x:c>
      <x:c r="G39" s="28" t="str">
        <x:v>C05 — Problem-Solving</x:v>
      </x:c>
      <x:c r="H39" s="28" t="str">
        <x:v>C04 — Organisation and Attention to Detail</x:v>
      </x:c>
      <x:c r="I39" s="28" t="str">
        <x:v>A. Whether the approval owner, requirements and turnaround time are clearly defined
B. Whether the project name should change
C. Whether more meetings can be added
D. Whether the team can skip approval without permission</x:v>
      </x:c>
      <x:c r="J39" s="28" t="str">
        <x:v>A=4 | B=0 | C=1 | D=0</x:v>
      </x:c>
      <x:c r="K39" s="44" t="n">
        <x:v>4</x:v>
      </x:c>
      <x:c r="L39" s="44" t="str">
        <x:v>Yes</x:v>
      </x:c>
      <x:c r="M39" s="28" t="str"/>
    </x:row>
    <x:row r="40" ht="92" customHeight="1">
      <x:c r="A40" s="32" t="str">
        <x:v>O006</x:v>
      </x:c>
      <x:c r="B40" s="45" t="n">
        <x:v>36</x:v>
      </x:c>
      <x:c r="C40" s="32" t="str">
        <x:v>Organisation &amp; Problem-Solving</x:v>
      </x:c>
      <x:c r="D40" s="32" t="str">
        <x:v>Which sequence is most sensible when handing over a completed task?</x:v>
      </x:c>
      <x:c r="E40" s="32" t="str">
        <x:v>Single select</x:v>
      </x:c>
      <x:c r="F40" s="32" t="str">
        <x:v>Objective</x:v>
      </x:c>
      <x:c r="G40" s="32" t="str">
        <x:v>C04 — Organisation and Attention to Detail</x:v>
      </x:c>
      <x:c r="H40" s="32" t="str">
        <x:v>C03 — Communication</x:v>
      </x:c>
      <x:c r="I40" s="32" t="str">
        <x:v>A. Send it, check it, then explain it
B. Check the work, save the approved version, communicate completion and record any follow-up
C. Explain it, delete drafts, then start checking
D. Wait for someone to ask whether it is complete</x:v>
      </x:c>
      <x:c r="J40" s="32" t="str">
        <x:v>A=0 | B=4 | C=1 | D=0</x:v>
      </x:c>
      <x:c r="K40" s="45" t="n">
        <x:v>4</x:v>
      </x:c>
      <x:c r="L40" s="45" t="str">
        <x:v>Yes</x:v>
      </x:c>
      <x:c r="M40" s="32" t="str"/>
    </x:row>
    <x:row r="41" ht="92" customHeight="1">
      <x:c r="A41" s="28" t="str">
        <x:v>O007</x:v>
      </x:c>
      <x:c r="B41" s="44" t="n">
        <x:v>37</x:v>
      </x:c>
      <x:c r="C41" s="28" t="str">
        <x:v>Organisation &amp; Problem-Solving</x:v>
      </x:c>
      <x:c r="D41" s="28" t="str">
        <x:v>A stock system shows 120 units, but a physical count shows 112. What is the best action?</x:v>
      </x:c>
      <x:c r="E41" s="28" t="str">
        <x:v>Single select</x:v>
      </x:c>
      <x:c r="F41" s="28" t="str">
        <x:v>Judgement</x:v>
      </x:c>
      <x:c r="G41" s="28" t="str">
        <x:v>C04 — Organisation and Attention to Detail</x:v>
      </x:c>
      <x:c r="H41" s="28" t="str">
        <x:v>C05 — Problem-Solving</x:v>
      </x:c>
      <x:c r="I41" s="28" t="str">
        <x:v>A. Change the system to 112 without investigation
B. Recount, check recent movements and document the verified adjustment
C. Ignore the difference because it is small
D. Add eight units to the physical count</x:v>
      </x:c>
      <x:c r="J41" s="28" t="str">
        <x:v>A=1 | B=4 | C=0 | D=0</x:v>
      </x:c>
      <x:c r="K41" s="44" t="n">
        <x:v>4</x:v>
      </x:c>
      <x:c r="L41" s="44" t="str">
        <x:v>Yes</x:v>
      </x:c>
      <x:c r="M41" s="28" t="str"/>
    </x:row>
    <x:row r="42" ht="92" customHeight="1">
      <x:c r="A42" s="32" t="str">
        <x:v>O008</x:v>
      </x:c>
      <x:c r="B42" s="45" t="n">
        <x:v>38</x:v>
      </x:c>
      <x:c r="C42" s="32" t="str">
        <x:v>Organisation &amp; Problem-Solving</x:v>
      </x:c>
      <x:c r="D42" s="32" t="str">
        <x:v>Two managers give you urgent tasks that cannot both be completed on time. What should you do?</x:v>
      </x:c>
      <x:c r="E42" s="32" t="str">
        <x:v>Single select</x:v>
      </x:c>
      <x:c r="F42" s="32" t="str">
        <x:v>Judgement</x:v>
      </x:c>
      <x:c r="G42" s="32" t="str">
        <x:v>C04 — Organisation and Attention to Detail</x:v>
      </x:c>
      <x:c r="H42" s="32" t="str">
        <x:v>C03 — Communication</x:v>
      </x:c>
      <x:c r="I42" s="32" t="str">
        <x:v>A. Choose the task you prefer
B. Work on both without informing either manager
C. Explain the conflict, confirm business priority and agree revised expectations
D. Decline both tasks</x:v>
      </x:c>
      <x:c r="J42" s="32" t="str">
        <x:v>A=0 | B=1 | C=4 | D=0</x:v>
      </x:c>
      <x:c r="K42" s="45" t="n">
        <x:v>4</x:v>
      </x:c>
      <x:c r="L42" s="45" t="str">
        <x:v>Yes</x:v>
      </x:c>
      <x:c r="M42" s="32" t="str"/>
    </x:row>
    <x:row r="43" ht="92" customHeight="1">
      <x:c r="A43" s="28" t="str">
        <x:v>O009</x:v>
      </x:c>
      <x:c r="B43" s="44" t="n">
        <x:v>39</x:v>
      </x:c>
      <x:c r="C43" s="28" t="str">
        <x:v>Organisation &amp; Problem-Solving</x:v>
      </x:c>
      <x:c r="D43" s="28" t="str">
        <x:v>You discover an important error after sending a report. What is the best response?</x:v>
      </x:c>
      <x:c r="E43" s="28" t="str">
        <x:v>Single select</x:v>
      </x:c>
      <x:c r="F43" s="28" t="str">
        <x:v>Judgement</x:v>
      </x:c>
      <x:c r="G43" s="28" t="str">
        <x:v>C04 — Organisation and Attention to Detail</x:v>
      </x:c>
      <x:c r="H43" s="28" t="str">
        <x:v>C07 — Leadership and Decision-Making</x:v>
      </x:c>
      <x:c r="I43" s="28" t="str">
        <x:v>A. Hope nobody notices
B. Correct the file quietly without informing recipients
C. Notify affected recipients promptly, provide the corrected version and explain the impact
D. Delete the original email</x:v>
      </x:c>
      <x:c r="J43" s="28" t="str">
        <x:v>A=0 | B=1 | C=4 | D=0</x:v>
      </x:c>
      <x:c r="K43" s="44" t="n">
        <x:v>4</x:v>
      </x:c>
      <x:c r="L43" s="44" t="str">
        <x:v>Yes</x:v>
      </x:c>
      <x:c r="M43" s="28" t="str"/>
    </x:row>
    <x:row r="44" ht="92" customHeight="1">
      <x:c r="A44" s="32" t="str">
        <x:v>O010</x:v>
      </x:c>
      <x:c r="B44" s="45" t="n">
        <x:v>40</x:v>
      </x:c>
      <x:c r="C44" s="32" t="str">
        <x:v>Organisation &amp; Problem-Solving</x:v>
      </x:c>
      <x:c r="D44" s="32" t="str">
        <x:v>You receive an unfamiliar task with limited instructions. What should you do first?</x:v>
      </x:c>
      <x:c r="E44" s="32" t="str">
        <x:v>Single select</x:v>
      </x:c>
      <x:c r="F44" s="32" t="str">
        <x:v>Judgement</x:v>
      </x:c>
      <x:c r="G44" s="32" t="str">
        <x:v>C05 — Problem-Solving</x:v>
      </x:c>
      <x:c r="H44" s="32" t="str">
        <x:v>C09 — Initiative, Creativity and Adaptability</x:v>
      </x:c>
      <x:c r="I44" s="32" t="str">
        <x:v>A. Refuse because you have not done it before
B. Clarify the required outcome, review available examples and plan the first steps
C. Copy someone else’s work without checking
D. Wait for detailed step-by-step instructions</x:v>
      </x:c>
      <x:c r="J44" s="32" t="str">
        <x:v>A=0 | B=4 | C=1 | D=1</x:v>
      </x:c>
      <x:c r="K44" s="45" t="n">
        <x:v>4</x:v>
      </x:c>
      <x:c r="L44" s="45" t="str">
        <x:v>Yes</x:v>
      </x:c>
      <x:c r="M44" s="32" t="str"/>
    </x:row>
    <x:row r="45" ht="92" customHeight="1">
      <x:c r="A45" s="28" t="str">
        <x:v>W001</x:v>
      </x:c>
      <x:c r="B45" s="44" t="n">
        <x:v>41</x:v>
      </x:c>
      <x:c r="C45" s="28" t="str">
        <x:v>Workplace Judgement &amp; Teamwork</x:v>
      </x:c>
      <x:c r="D45" s="28" t="str">
        <x:v>A teammate misses an agreed task and this affects your deadline. What is the best first response?</x:v>
      </x:c>
      <x:c r="E45" s="28" t="str">
        <x:v>Single select</x:v>
      </x:c>
      <x:c r="F45" s="28" t="str">
        <x:v>Judgement</x:v>
      </x:c>
      <x:c r="G45" s="28" t="str">
        <x:v>C06 — People and Teamwork</x:v>
      </x:c>
      <x:c r="H45" s="28" t="str">
        <x:v>C08 — Conflict Management and Emotional Regulation</x:v>
      </x:c>
      <x:c r="I45" s="28" t="str">
        <x:v>A. Complain about them in the group chat
B. Complete everything yourself and say nothing
C. Speak to them directly, confirm the obstacle and agree an immediate recovery plan
D. Report them before asking what happened</x:v>
      </x:c>
      <x:c r="J45" s="28" t="str">
        <x:v>A=0 | B=1 | C=4 | D=1</x:v>
      </x:c>
      <x:c r="K45" s="44" t="n">
        <x:v>4</x:v>
      </x:c>
      <x:c r="L45" s="44" t="str">
        <x:v>Yes</x:v>
      </x:c>
      <x:c r="M45" s="28" t="str"/>
    </x:row>
    <x:row r="46" ht="92" customHeight="1">
      <x:c r="A46" s="32" t="str">
        <x:v>W002</x:v>
      </x:c>
      <x:c r="B46" s="45" t="n">
        <x:v>42</x:v>
      </x:c>
      <x:c r="C46" s="32" t="str">
        <x:v>Workplace Judgement &amp; Teamwork</x:v>
      </x:c>
      <x:c r="D46" s="32" t="str">
        <x:v>A customer is angry about a delay. What should you do first?</x:v>
      </x:c>
      <x:c r="E46" s="32" t="str">
        <x:v>Single select</x:v>
      </x:c>
      <x:c r="F46" s="32" t="str">
        <x:v>Judgement</x:v>
      </x:c>
      <x:c r="G46" s="32" t="str">
        <x:v>C03 — Communication</x:v>
      </x:c>
      <x:c r="H46" s="32" t="str">
        <x:v>C08 — Conflict Management and Emotional Regulation</x:v>
      </x:c>
      <x:c r="I46" s="32" t="str">
        <x:v>A. Explain why the customer is wrong
B. Listen, acknowledge the impact, confirm the facts and explain the next action
C. Promise an outcome you cannot guarantee
D. Transfer the customer without explanation</x:v>
      </x:c>
      <x:c r="J46" s="32" t="str">
        <x:v>A=0 | B=4 | C=1 | D=0</x:v>
      </x:c>
      <x:c r="K46" s="45" t="n">
        <x:v>4</x:v>
      </x:c>
      <x:c r="L46" s="45" t="str">
        <x:v>Yes</x:v>
      </x:c>
      <x:c r="M46" s="32" t="str"/>
    </x:row>
    <x:row r="47" ht="92" customHeight="1">
      <x:c r="A47" s="28" t="str">
        <x:v>W003</x:v>
      </x:c>
      <x:c r="B47" s="44" t="n">
        <x:v>43</x:v>
      </x:c>
      <x:c r="C47" s="28" t="str">
        <x:v>Workplace Judgement &amp; Teamwork</x:v>
      </x:c>
      <x:c r="D47" s="28" t="str">
        <x:v>A new team member is quiet during meetings but has relevant knowledge. What is the strongest team response?</x:v>
      </x:c>
      <x:c r="E47" s="28" t="str">
        <x:v>Single select</x:v>
      </x:c>
      <x:c r="F47" s="28" t="str">
        <x:v>Judgement</x:v>
      </x:c>
      <x:c r="G47" s="28" t="str">
        <x:v>C06 — People and Teamwork</x:v>
      </x:c>
      <x:c r="H47" s="28" t="str">
        <x:v>C03 — Communication</x:v>
      </x:c>
      <x:c r="I47" s="28" t="str">
        <x:v>A. Assume they have nothing to add
B. Give them all difficult tasks to test them
C. Invite their input, provide context and create a safe way for them to contribute
D. Wait several months before involving them</x:v>
      </x:c>
      <x:c r="J47" s="28" t="str">
        <x:v>A=0 | B=0 | C=4 | D=1</x:v>
      </x:c>
      <x:c r="K47" s="44" t="n">
        <x:v>4</x:v>
      </x:c>
      <x:c r="L47" s="44" t="str">
        <x:v>Yes</x:v>
      </x:c>
      <x:c r="M47" s="28" t="str"/>
    </x:row>
    <x:row r="48" ht="92" customHeight="1">
      <x:c r="A48" s="32" t="str">
        <x:v>W004</x:v>
      </x:c>
      <x:c r="B48" s="45" t="n">
        <x:v>44</x:v>
      </x:c>
      <x:c r="C48" s="32" t="str">
        <x:v>Workplace Judgement &amp; Teamwork</x:v>
      </x:c>
      <x:c r="D48" s="32" t="str">
        <x:v>You disagree with a colleague’s idea during a meeting. What is the best response?</x:v>
      </x:c>
      <x:c r="E48" s="32" t="str">
        <x:v>Single select</x:v>
      </x:c>
      <x:c r="F48" s="32" t="str">
        <x:v>Judgement</x:v>
      </x:c>
      <x:c r="G48" s="32" t="str">
        <x:v>C06 — People and Teamwork</x:v>
      </x:c>
      <x:c r="H48" s="32" t="str">
        <x:v>C08 — Conflict Management and Emotional Regulation</x:v>
      </x:c>
      <x:c r="I48" s="32" t="str">
        <x:v>A. Dismiss the idea immediately
B. Explain your concern using evidence and ask the group to compare options
C. Remain silent and complain later
D. Make the disagreement personal</x:v>
      </x:c>
      <x:c r="J48" s="32" t="str">
        <x:v>A=0 | B=4 | C=1 | D=0</x:v>
      </x:c>
      <x:c r="K48" s="45" t="n">
        <x:v>4</x:v>
      </x:c>
      <x:c r="L48" s="45" t="str">
        <x:v>Yes</x:v>
      </x:c>
      <x:c r="M48" s="32" t="str"/>
    </x:row>
    <x:row r="49" ht="92" customHeight="1">
      <x:c r="A49" s="28" t="str">
        <x:v>W005</x:v>
      </x:c>
      <x:c r="B49" s="44" t="n">
        <x:v>45</x:v>
      </x:c>
      <x:c r="C49" s="28" t="str">
        <x:v>Workplace Judgement &amp; Teamwork</x:v>
      </x:c>
      <x:c r="D49" s="28" t="str">
        <x:v>One team member has much more work than the others. What should the team do?</x:v>
      </x:c>
      <x:c r="E49" s="28" t="str">
        <x:v>Single select</x:v>
      </x:c>
      <x:c r="F49" s="28" t="str">
        <x:v>Judgement</x:v>
      </x:c>
      <x:c r="G49" s="28" t="str">
        <x:v>C06 — People and Teamwork</x:v>
      </x:c>
      <x:c r="H49" s="28" t="str">
        <x:v>C04 — Organisation and Attention to Detail</x:v>
      </x:c>
      <x:c r="I49" s="28" t="str">
        <x:v>A. Leave it because the person is capable
B. Review workload, priorities and skills, then redistribute where appropriate
C. Give everyone exactly the same number of tasks without checking complexity
D. Wait until the person fails</x:v>
      </x:c>
      <x:c r="J49" s="28" t="str">
        <x:v>A=0 | B=4 | C=1 | D=0</x:v>
      </x:c>
      <x:c r="K49" s="44" t="n">
        <x:v>4</x:v>
      </x:c>
      <x:c r="L49" s="44" t="str">
        <x:v>Yes</x:v>
      </x:c>
      <x:c r="M49" s="28" t="str"/>
    </x:row>
    <x:row r="50" ht="92" customHeight="1">
      <x:c r="A50" s="32" t="str">
        <x:v>W006</x:v>
      </x:c>
      <x:c r="B50" s="45" t="n">
        <x:v>46</x:v>
      </x:c>
      <x:c r="C50" s="32" t="str">
        <x:v>Workplace Judgement &amp; Teamwork</x:v>
      </x:c>
      <x:c r="D50" s="32" t="str">
        <x:v>A colleague shares confidential employee information in a public team channel. What should you do?</x:v>
      </x:c>
      <x:c r="E50" s="32" t="str">
        <x:v>Single select</x:v>
      </x:c>
      <x:c r="F50" s="32" t="str">
        <x:v>Judgement</x:v>
      </x:c>
      <x:c r="G50" s="32" t="str">
        <x:v>C08 — Conflict Management and Emotional Regulation</x:v>
      </x:c>
      <x:c r="H50" s="32" t="str">
        <x:v>C07 — Leadership and Decision-Making</x:v>
      </x:c>
      <x:c r="I50" s="32" t="str">
        <x:v>A. Forward it to another group
B. Ignore it because it was not your message
C. Ask for its removal, protect the information and report the incident through the approved process
D. Reply with additional details</x:v>
      </x:c>
      <x:c r="J50" s="32" t="str">
        <x:v>A=0 | B=0 | C=4 | D=0</x:v>
      </x:c>
      <x:c r="K50" s="45" t="n">
        <x:v>4</x:v>
      </x:c>
      <x:c r="L50" s="45" t="str">
        <x:v>Yes</x:v>
      </x:c>
      <x:c r="M50" s="32" t="str"/>
    </x:row>
    <x:row r="51" ht="92" customHeight="1">
      <x:c r="A51" s="28" t="str">
        <x:v>W007</x:v>
      </x:c>
      <x:c r="B51" s="44" t="n">
        <x:v>47</x:v>
      </x:c>
      <x:c r="C51" s="28" t="str">
        <x:v>Workplace Judgement &amp; Teamwork</x:v>
      </x:c>
      <x:c r="D51" s="28" t="str">
        <x:v>Your team receives praise for work that several people contributed to. How should you respond?</x:v>
      </x:c>
      <x:c r="E51" s="28" t="str">
        <x:v>Single select</x:v>
      </x:c>
      <x:c r="F51" s="28" t="str">
        <x:v>Judgement</x:v>
      </x:c>
      <x:c r="G51" s="28" t="str">
        <x:v>C06 — People and Teamwork</x:v>
      </x:c>
      <x:c r="H51" s="28" t="str">
        <x:v>C07 — Leadership and Decision-Making</x:v>
      </x:c>
      <x:c r="I51" s="28" t="str">
        <x:v>A. Accept all the credit
B. Acknowledge the specific contributions of the team
C. Say the praise does not matter
D. Only mention the most senior person</x:v>
      </x:c>
      <x:c r="J51" s="28" t="str">
        <x:v>A=0 | B=4 | C=1 | D=1</x:v>
      </x:c>
      <x:c r="K51" s="44" t="n">
        <x:v>4</x:v>
      </x:c>
      <x:c r="L51" s="44" t="str">
        <x:v>Yes</x:v>
      </x:c>
      <x:c r="M51" s="28" t="str"/>
    </x:row>
    <x:row r="52" ht="92" customHeight="1">
      <x:c r="A52" s="32" t="str">
        <x:v>W008</x:v>
      </x:c>
      <x:c r="B52" s="45" t="n">
        <x:v>48</x:v>
      </x:c>
      <x:c r="C52" s="32" t="str">
        <x:v>Workplace Judgement &amp; Teamwork</x:v>
      </x:c>
      <x:c r="D52" s="32" t="str">
        <x:v>Two managers give different instructions for the same task. What is the best action?</x:v>
      </x:c>
      <x:c r="E52" s="32" t="str">
        <x:v>Single select</x:v>
      </x:c>
      <x:c r="F52" s="32" t="str">
        <x:v>Judgement</x:v>
      </x:c>
      <x:c r="G52" s="32" t="str">
        <x:v>C03 — Communication</x:v>
      </x:c>
      <x:c r="H52" s="32" t="str">
        <x:v>C04 — Organisation and Attention to Detail</x:v>
      </x:c>
      <x:c r="I52" s="32" t="str">
        <x:v>A. Follow both instructions even if they conflict
B. Choose the instruction from the manager you like more
C. Show both instructions to the relevant managers and confirm one agreed direction
D. Stop all work without informing anyone</x:v>
      </x:c>
      <x:c r="J52" s="32" t="str">
        <x:v>A=0 | B=0 | C=4 | D=1</x:v>
      </x:c>
      <x:c r="K52" s="45" t="n">
        <x:v>4</x:v>
      </x:c>
      <x:c r="L52" s="45" t="str">
        <x:v>Yes</x:v>
      </x:c>
      <x:c r="M52" s="32" t="str"/>
    </x:row>
    <x:row r="53" ht="92" customHeight="1">
      <x:c r="A53" s="28" t="str">
        <x:v>W009</x:v>
      </x:c>
      <x:c r="B53" s="44" t="n">
        <x:v>49</x:v>
      </x:c>
      <x:c r="C53" s="28" t="str">
        <x:v>Workplace Judgement &amp; Teamwork</x:v>
      </x:c>
      <x:c r="D53" s="28" t="str">
        <x:v>A participant requests a service outside your authority. What should you do?</x:v>
      </x:c>
      <x:c r="E53" s="28" t="str">
        <x:v>Single select</x:v>
      </x:c>
      <x:c r="F53" s="28" t="str">
        <x:v>Judgement</x:v>
      </x:c>
      <x:c r="G53" s="28" t="str">
        <x:v>C03 — Communication</x:v>
      </x:c>
      <x:c r="H53" s="28" t="str">
        <x:v>C06 — People and Teamwork</x:v>
      </x:c>
      <x:c r="I53" s="28" t="str">
        <x:v>A. Promise the service to keep them happy
B. Explain your scope, identify the correct person or process and make a clear handover
C. Tell them it is not your problem
D. Ignore the request</x:v>
      </x:c>
      <x:c r="J53" s="28" t="str">
        <x:v>A=0 | B=4 | C=0 | D=0</x:v>
      </x:c>
      <x:c r="K53" s="44" t="n">
        <x:v>4</x:v>
      </x:c>
      <x:c r="L53" s="44" t="str">
        <x:v>Yes</x:v>
      </x:c>
      <x:c r="M53" s="28" t="str"/>
    </x:row>
    <x:row r="54" ht="92" customHeight="1">
      <x:c r="A54" s="32" t="str">
        <x:v>W010</x:v>
      </x:c>
      <x:c r="B54" s="45" t="n">
        <x:v>50</x:v>
      </x:c>
      <x:c r="C54" s="32" t="str">
        <x:v>Workplace Judgement &amp; Teamwork</x:v>
      </x:c>
      <x:c r="D54" s="32" t="str">
        <x:v>You need to give a colleague corrective feedback. What is the best approach?</x:v>
      </x:c>
      <x:c r="E54" s="32" t="str">
        <x:v>Single select</x:v>
      </x:c>
      <x:c r="F54" s="32" t="str">
        <x:v>Judgement</x:v>
      </x:c>
      <x:c r="G54" s="32" t="str">
        <x:v>C03 — Communication</x:v>
      </x:c>
      <x:c r="H54" s="32" t="str">
        <x:v>C08 — Conflict Management and Emotional Regulation</x:v>
      </x:c>
      <x:c r="I54" s="32" t="str">
        <x:v>A. Give the feedback publicly so everyone learns
B. Describe the specific behaviour and impact privately, listen to their view and agree the next action
C. Use general statements such as “your work is always bad”
D. Avoid the discussion completely</x:v>
      </x:c>
      <x:c r="J54" s="32" t="str">
        <x:v>A=0 | B=4 | C=0 | D=1</x:v>
      </x:c>
      <x:c r="K54" s="45" t="n">
        <x:v>4</x:v>
      </x:c>
      <x:c r="L54" s="45" t="str">
        <x:v>Yes</x:v>
      </x:c>
      <x:c r="M54" s="32" t="str"/>
    </x:row>
    <x:row r="55" ht="92" customHeight="1">
      <x:c r="A55" s="28" t="str">
        <x:v>L001</x:v>
      </x:c>
      <x:c r="B55" s="44" t="n">
        <x:v>51</x:v>
      </x:c>
      <x:c r="C55" s="28" t="str">
        <x:v>Leadership &amp; Conflict</x:v>
      </x:c>
      <x:c r="D55" s="28" t="str">
        <x:v>A team member produces good work but repeatedly submits it late. What should a supervisor do?</x:v>
      </x:c>
      <x:c r="E55" s="28" t="str">
        <x:v>Single select</x:v>
      </x:c>
      <x:c r="F55" s="28" t="str">
        <x:v>Judgement</x:v>
      </x:c>
      <x:c r="G55" s="28" t="str">
        <x:v>C07 — Leadership and Decision-Making</x:v>
      </x:c>
      <x:c r="H55" s="28" t="str">
        <x:v>C04 — Organisation and Attention to Detail</x:v>
      </x:c>
      <x:c r="I55" s="28" t="str">
        <x:v>A. Ignore the lateness because the quality is good
B. Discuss the pattern, identify the cause, agree a deadline-control plan and monitor it
C. Remove all their responsibilities immediately
D. Criticise them in front of the team</x:v>
      </x:c>
      <x:c r="J55" s="28" t="str">
        <x:v>A=0 | B=4 | C=1 | D=0</x:v>
      </x:c>
      <x:c r="K55" s="44" t="n">
        <x:v>4</x:v>
      </x:c>
      <x:c r="L55" s="44" t="str">
        <x:v>Yes</x:v>
      </x:c>
      <x:c r="M55" s="28" t="str"/>
    </x:row>
    <x:row r="56" ht="92" customHeight="1">
      <x:c r="A56" s="32" t="str">
        <x:v>L002</x:v>
      </x:c>
      <x:c r="B56" s="45" t="n">
        <x:v>52</x:v>
      </x:c>
      <x:c r="C56" s="32" t="str">
        <x:v>Leadership &amp; Conflict</x:v>
      </x:c>
      <x:c r="D56" s="32" t="str">
        <x:v>Two team members blame each other for a missed deadline. What should the leader do first?</x:v>
      </x:c>
      <x:c r="E56" s="32" t="str">
        <x:v>Single select</x:v>
      </x:c>
      <x:c r="F56" s="32" t="str">
        <x:v>Judgement</x:v>
      </x:c>
      <x:c r="G56" s="32" t="str">
        <x:v>C08 — Conflict Management and Emotional Regulation</x:v>
      </x:c>
      <x:c r="H56" s="32" t="str">
        <x:v>C07 — Leadership and Decision-Making</x:v>
      </x:c>
      <x:c r="I56" s="32" t="str">
        <x:v>A. Choose who seems more believable
B. Hear both accounts, review the agreed responsibilities and establish the facts
C. Punish both people equally without investigation
D. Tell them to sort it out and leave</x:v>
      </x:c>
      <x:c r="J56" s="32" t="str">
        <x:v>A=0 | B=4 | C=0 | D=1</x:v>
      </x:c>
      <x:c r="K56" s="45" t="n">
        <x:v>4</x:v>
      </x:c>
      <x:c r="L56" s="45" t="str">
        <x:v>Yes</x:v>
      </x:c>
      <x:c r="M56" s="32" t="str"/>
    </x:row>
    <x:row r="57" ht="92" customHeight="1">
      <x:c r="A57" s="28" t="str">
        <x:v>L003</x:v>
      </x:c>
      <x:c r="B57" s="44" t="n">
        <x:v>53</x:v>
      </x:c>
      <x:c r="C57" s="28" t="str">
        <x:v>Leadership &amp; Conflict</x:v>
      </x:c>
      <x:c r="D57" s="28" t="str">
        <x:v>You must delegate an urgent project. What is the strongest approach?</x:v>
      </x:c>
      <x:c r="E57" s="28" t="str">
        <x:v>Single select</x:v>
      </x:c>
      <x:c r="F57" s="28" t="str">
        <x:v>Judgement</x:v>
      </x:c>
      <x:c r="G57" s="28" t="str">
        <x:v>C07 — Leadership and Decision-Making</x:v>
      </x:c>
      <x:c r="H57" s="28" t="str">
        <x:v>C03 — Communication</x:v>
      </x:c>
      <x:c r="I57" s="28" t="str">
        <x:v>A. Give the whole project to the busiest person
B. Match tasks to capability, define outcomes and deadlines, confirm authority and schedule check-ins
C. Delegate tasks without context so people work independently
D. Do everything yourself</x:v>
      </x:c>
      <x:c r="J57" s="28" t="str">
        <x:v>A=0 | B=4 | C=1 | D=1</x:v>
      </x:c>
      <x:c r="K57" s="44" t="n">
        <x:v>4</x:v>
      </x:c>
      <x:c r="L57" s="44" t="str">
        <x:v>Yes</x:v>
      </x:c>
      <x:c r="M57" s="28" t="str"/>
    </x:row>
    <x:row r="58" ht="92" customHeight="1">
      <x:c r="A58" s="32" t="str">
        <x:v>L004</x:v>
      </x:c>
      <x:c r="B58" s="45" t="n">
        <x:v>54</x:v>
      </x:c>
      <x:c r="C58" s="32" t="str">
        <x:v>Leadership &amp; Conflict</x:v>
      </x:c>
      <x:c r="D58" s="32" t="str">
        <x:v>A usually reliable employee’s performance suddenly drops. What should the leader do first?</x:v>
      </x:c>
      <x:c r="E58" s="32" t="str">
        <x:v>Single select</x:v>
      </x:c>
      <x:c r="F58" s="32" t="str">
        <x:v>Judgement</x:v>
      </x:c>
      <x:c r="G58" s="32" t="str">
        <x:v>C07 — Leadership and Decision-Making</x:v>
      </x:c>
      <x:c r="H58" s="32" t="str">
        <x:v>C08 — Conflict Management and Emotional Regulation</x:v>
      </x:c>
      <x:c r="I58" s="32" t="str">
        <x:v>A. Assume they no longer care
B. Hold a private evidence-based discussion, ask what changed and agree support and expectations
C. Announce the problem to the team
D. Immediately replace them</x:v>
      </x:c>
      <x:c r="J58" s="32" t="str">
        <x:v>A=0 | B=4 | C=0 | D=1</x:v>
      </x:c>
      <x:c r="K58" s="45" t="n">
        <x:v>4</x:v>
      </x:c>
      <x:c r="L58" s="45" t="str">
        <x:v>Yes</x:v>
      </x:c>
      <x:c r="M58" s="32" t="str"/>
    </x:row>
    <x:row r="59" ht="92" customHeight="1">
      <x:c r="A59" s="28" t="str">
        <x:v>L005</x:v>
      </x:c>
      <x:c r="B59" s="44" t="n">
        <x:v>55</x:v>
      </x:c>
      <x:c r="C59" s="28" t="str">
        <x:v>Leadership &amp; Conflict</x:v>
      </x:c>
      <x:c r="D59" s="28" t="str">
        <x:v>A necessary decision will be unpopular with the team. What should a leader do?</x:v>
      </x:c>
      <x:c r="E59" s="28" t="str">
        <x:v>Single select</x:v>
      </x:c>
      <x:c r="F59" s="28" t="str">
        <x:v>Judgement</x:v>
      </x:c>
      <x:c r="G59" s="28" t="str">
        <x:v>C07 — Leadership and Decision-Making</x:v>
      </x:c>
      <x:c r="H59" s="28" t="str">
        <x:v>C03 — Communication</x:v>
      </x:c>
      <x:c r="I59" s="28" t="str">
        <x:v>A. Hide the reason for the decision
B. Explain the evidence, impact and constraints, listen to concerns and remain accountable
C. Blame senior management
D. Avoid making the decision</x:v>
      </x:c>
      <x:c r="J59" s="28" t="str">
        <x:v>A=0 | B=4 | C=1 | D=0</x:v>
      </x:c>
      <x:c r="K59" s="44" t="n">
        <x:v>4</x:v>
      </x:c>
      <x:c r="L59" s="44" t="str">
        <x:v>Yes</x:v>
      </x:c>
      <x:c r="M59" s="28" t="str"/>
    </x:row>
    <x:row r="60" ht="92" customHeight="1">
      <x:c r="A60" s="32" t="str">
        <x:v>L006</x:v>
      </x:c>
      <x:c r="B60" s="45" t="n">
        <x:v>56</x:v>
      </x:c>
      <x:c r="C60" s="32" t="str">
        <x:v>Leadership &amp; Conflict</x:v>
      </x:c>
      <x:c r="D60" s="32" t="str">
        <x:v>A colleague strongly criticises your proposal. What is the best response?</x:v>
      </x:c>
      <x:c r="E60" s="32" t="str">
        <x:v>Single select</x:v>
      </x:c>
      <x:c r="F60" s="32" t="str">
        <x:v>Judgement</x:v>
      </x:c>
      <x:c r="G60" s="32" t="str">
        <x:v>C08 — Conflict Management and Emotional Regulation</x:v>
      </x:c>
      <x:c r="H60" s="32" t="str">
        <x:v>C09 — Initiative, Creativity and Adaptability</x:v>
      </x:c>
      <x:c r="I60" s="32" t="str">
        <x:v>A. Defend every point immediately
B. Ask for the evidence behind the concern, separate useful feedback from tone and revise if needed
C. Stop involving the colleague
D. Agree with the criticism without checking it</x:v>
      </x:c>
      <x:c r="J60" s="32" t="str">
        <x:v>A=0 | B=4 | C=0 | D=1</x:v>
      </x:c>
      <x:c r="K60" s="45" t="n">
        <x:v>4</x:v>
      </x:c>
      <x:c r="L60" s="45" t="str">
        <x:v>Yes</x:v>
      </x:c>
      <x:c r="M60" s="32" t="str"/>
    </x:row>
    <x:row r="61" ht="92" customHeight="1">
      <x:c r="A61" s="28" t="str">
        <x:v>L007</x:v>
      </x:c>
      <x:c r="B61" s="44" t="n">
        <x:v>57</x:v>
      </x:c>
      <x:c r="C61" s="28" t="str">
        <x:v>Leadership &amp; Conflict</x:v>
      </x:c>
      <x:c r="D61" s="28" t="str">
        <x:v>A disagreement is becoming personal and voices are rising. What should the person leading the discussion do?</x:v>
      </x:c>
      <x:c r="E61" s="28" t="str">
        <x:v>Single select</x:v>
      </x:c>
      <x:c r="F61" s="28" t="str">
        <x:v>Judgement</x:v>
      </x:c>
      <x:c r="G61" s="28" t="str">
        <x:v>C08 — Conflict Management and Emotional Regulation</x:v>
      </x:c>
      <x:c r="H61" s="28" t="str">
        <x:v>C07 — Leadership and Decision-Making</x:v>
      </x:c>
      <x:c r="I61" s="28" t="str">
        <x:v>A. Allow it to continue until someone gives up
B. Pause the discussion, restate the issue and rules, lower the temperature and return to facts
C. Raise their voice to regain control
D. End the relationship between the team members</x:v>
      </x:c>
      <x:c r="J61" s="28" t="str">
        <x:v>A=0 | B=4 | C=0 | D=1</x:v>
      </x:c>
      <x:c r="K61" s="44" t="n">
        <x:v>4</x:v>
      </x:c>
      <x:c r="L61" s="44" t="str">
        <x:v>Yes</x:v>
      </x:c>
      <x:c r="M61" s="28" t="str"/>
    </x:row>
    <x:row r="62" ht="92" customHeight="1">
      <x:c r="A62" s="32" t="str">
        <x:v>L008</x:v>
      </x:c>
      <x:c r="B62" s="45" t="n">
        <x:v>58</x:v>
      </x:c>
      <x:c r="C62" s="32" t="str">
        <x:v>Leadership &amp; Conflict</x:v>
      </x:c>
      <x:c r="D62" s="32" t="str">
        <x:v>You discover a serious safety or ethical breach by a high-performing team member. What should you do?</x:v>
      </x:c>
      <x:c r="E62" s="32" t="str">
        <x:v>Single select</x:v>
      </x:c>
      <x:c r="F62" s="32" t="str">
        <x:v>Judgement</x:v>
      </x:c>
      <x:c r="G62" s="32" t="str">
        <x:v>C07 — Leadership and Decision-Making</x:v>
      </x:c>
      <x:c r="H62" s="32" t="str">
        <x:v>C08 — Conflict Management and Emotional Regulation</x:v>
      </x:c>
      <x:c r="I62" s="32" t="str">
        <x:v>A. Ignore it because the person performs well
B. Secure immediate safety, preserve facts and follow the formal escalation process consistently
C. Warn the person informally and keep it secret
D. Discuss it as gossip with the team</x:v>
      </x:c>
      <x:c r="J62" s="32" t="str">
        <x:v>A=0 | B=4 | C=1 | D=0</x:v>
      </x:c>
      <x:c r="K62" s="45" t="n">
        <x:v>4</x:v>
      </x:c>
      <x:c r="L62" s="45" t="str">
        <x:v>Yes</x:v>
      </x:c>
      <x:c r="M62" s="32" t="str"/>
    </x:row>
    <x:row r="63" ht="92" customHeight="1">
      <x:c r="A63" s="28" t="str">
        <x:v>L009</x:v>
      </x:c>
      <x:c r="B63" s="44" t="n">
        <x:v>59</x:v>
      </x:c>
      <x:c r="C63" s="28" t="str">
        <x:v>Leadership &amp; Conflict</x:v>
      </x:c>
      <x:c r="D63" s="28" t="str">
        <x:v>A team is demotivated after several setbacks. What is the best leadership response?</x:v>
      </x:c>
      <x:c r="E63" s="28" t="str">
        <x:v>Single select</x:v>
      </x:c>
      <x:c r="F63" s="28" t="str">
        <x:v>Judgement</x:v>
      </x:c>
      <x:c r="G63" s="28" t="str">
        <x:v>C07 — Leadership and Decision-Making</x:v>
      </x:c>
      <x:c r="H63" s="28" t="str">
        <x:v>C06 — People and Teamwork</x:v>
      </x:c>
      <x:c r="I63" s="28" t="str">
        <x:v>A. Tell them to work harder
B. Review causes, recognise progress, reset achievable priorities and remove practical obstacles
C. Pretend the setbacks did not happen
D. Replace the entire team</x:v>
      </x:c>
      <x:c r="J63" s="28" t="str">
        <x:v>A=0 | B=4 | C=0 | D=1</x:v>
      </x:c>
      <x:c r="K63" s="44" t="n">
        <x:v>4</x:v>
      </x:c>
      <x:c r="L63" s="44" t="str">
        <x:v>Yes</x:v>
      </x:c>
      <x:c r="M63" s="28" t="str"/>
    </x:row>
    <x:row r="64" ht="92" customHeight="1">
      <x:c r="A64" s="32" t="str">
        <x:v>L010</x:v>
      </x:c>
      <x:c r="B64" s="45" t="n">
        <x:v>60</x:v>
      </x:c>
      <x:c r="C64" s="32" t="str">
        <x:v>Leadership &amp; Conflict</x:v>
      </x:c>
      <x:c r="D64" s="32" t="str">
        <x:v>A decision is required today, but some information is still unavailable. What should a leader do?</x:v>
      </x:c>
      <x:c r="E64" s="32" t="str">
        <x:v>Single select</x:v>
      </x:c>
      <x:c r="F64" s="32" t="str">
        <x:v>Judgement</x:v>
      </x:c>
      <x:c r="G64" s="32" t="str">
        <x:v>C07 — Leadership and Decision-Making</x:v>
      </x:c>
      <x:c r="H64" s="32" t="str">
        <x:v>C05 — Problem-Solving</x:v>
      </x:c>
      <x:c r="I64" s="32" t="str">
        <x:v>A. Delay every decision indefinitely
B. Identify what is essential, assess risk, use the best available evidence and state what will be reviewed later
C. Guess without documenting assumptions
D. Ask someone else to take responsibility without context</x:v>
      </x:c>
      <x:c r="J64" s="32" t="str">
        <x:v>A=0 | B=4 | C=1 | D=0</x:v>
      </x:c>
      <x:c r="K64" s="45" t="n">
        <x:v>4</x:v>
      </x:c>
      <x:c r="L64" s="45" t="str">
        <x:v>Yes</x:v>
      </x:c>
      <x:c r="M64" s="32" t="str"/>
    </x:row>
    <x:row r="65" ht="92" customHeight="1">
      <x:c r="A65" s="28" t="str">
        <x:v>S001</x:v>
      </x:c>
      <x:c r="B65" s="44" t="n">
        <x:v>61</x:v>
      </x:c>
      <x:c r="C65" s="28" t="str">
        <x:v>Work Style &amp; Adaptability</x:v>
      </x:c>
      <x:c r="D65" s="28" t="str">
        <x:v>Before starting multi-step work, I create a clear plan or checklist.</x:v>
      </x:c>
      <x:c r="E65" s="28" t="str">
        <x:v>Single select</x:v>
      </x:c>
      <x:c r="F65" s="28" t="str">
        <x:v>Self-report</x:v>
      </x:c>
      <x:c r="G65" s="28" t="str">
        <x:v>C04 — Organisation and Attention to Detail</x:v>
      </x:c>
      <x:c r="H65" s="28" t="str">
        <x:v>C07 — Leadership and Decision-Making</x:v>
      </x:c>
      <x:c r="I65" s="28" t="str">
        <x:v>A. Almost never
B. Rarely
C. Sometimes
D. Often
E. Almost always</x:v>
      </x:c>
      <x:c r="J65" s="28" t="str">
        <x:v>Not scored; profile/context only</x:v>
      </x:c>
      <x:c r="K65" s="44" t="n">
        <x:v>4</x:v>
      </x:c>
      <x:c r="L65" s="44" t="str">
        <x:v>Yes</x:v>
      </x:c>
      <x:c r="M65" s="28" t="str"/>
    </x:row>
    <x:row r="66" ht="92" customHeight="1">
      <x:c r="A66" s="32" t="str">
        <x:v>S002</x:v>
      </x:c>
      <x:c r="B66" s="45" t="n">
        <x:v>62</x:v>
      </x:c>
      <x:c r="C66" s="32" t="str">
        <x:v>Work Style &amp; Adaptability</x:v>
      </x:c>
      <x:c r="D66" s="32" t="str">
        <x:v>I check important work for mistakes before submitting it.</x:v>
      </x:c>
      <x:c r="E66" s="32" t="str">
        <x:v>Single select</x:v>
      </x:c>
      <x:c r="F66" s="32" t="str">
        <x:v>Self-report</x:v>
      </x:c>
      <x:c r="G66" s="32" t="str">
        <x:v>C04 — Organisation and Attention to Detail</x:v>
      </x:c>
      <x:c r="H66" s="32" t="str">
        <x:v>C01 — Analytical and Numerical Ability</x:v>
      </x:c>
      <x:c r="I66" s="32" t="str">
        <x:v>A. Almost never
B. Rarely
C. Sometimes
D. Often
E. Almost always</x:v>
      </x:c>
      <x:c r="J66" s="32" t="str">
        <x:v>Not scored; profile/context only</x:v>
      </x:c>
      <x:c r="K66" s="45" t="n">
        <x:v>4</x:v>
      </x:c>
      <x:c r="L66" s="45" t="str">
        <x:v>Yes</x:v>
      </x:c>
      <x:c r="M66" s="32" t="str"/>
    </x:row>
    <x:row r="67" ht="92" customHeight="1">
      <x:c r="A67" s="28" t="str">
        <x:v>S003</x:v>
      </x:c>
      <x:c r="B67" s="44" t="n">
        <x:v>63</x:v>
      </x:c>
      <x:c r="C67" s="28" t="str">
        <x:v>Work Style &amp; Adaptability</x:v>
      </x:c>
      <x:c r="D67" s="28" t="str">
        <x:v>I can change my approach when new evidence shows that the original plan is not working.</x:v>
      </x:c>
      <x:c r="E67" s="28" t="str">
        <x:v>Single select</x:v>
      </x:c>
      <x:c r="F67" s="28" t="str">
        <x:v>Self-report</x:v>
      </x:c>
      <x:c r="G67" s="28" t="str">
        <x:v>C09 — Initiative, Creativity and Adaptability</x:v>
      </x:c>
      <x:c r="H67" s="28" t="str">
        <x:v>C05 — Problem-Solving</x:v>
      </x:c>
      <x:c r="I67" s="28" t="str">
        <x:v>A. Almost never
B. Rarely
C. Sometimes
D. Often
E. Almost always</x:v>
      </x:c>
      <x:c r="J67" s="28" t="str">
        <x:v>Not scored; profile/context only</x:v>
      </x:c>
      <x:c r="K67" s="44" t="n">
        <x:v>4</x:v>
      </x:c>
      <x:c r="L67" s="44" t="str">
        <x:v>Yes</x:v>
      </x:c>
      <x:c r="M67" s="28" t="str"/>
    </x:row>
    <x:row r="68" ht="92" customHeight="1">
      <x:c r="A68" s="32" t="str">
        <x:v>S004</x:v>
      </x:c>
      <x:c r="B68" s="45" t="n">
        <x:v>64</x:v>
      </x:c>
      <x:c r="C68" s="32" t="str">
        <x:v>Work Style &amp; Adaptability</x:v>
      </x:c>
      <x:c r="D68" s="32" t="str">
        <x:v>When requirements are unclear, I ask focused questions before proceeding.</x:v>
      </x:c>
      <x:c r="E68" s="32" t="str">
        <x:v>Single select</x:v>
      </x:c>
      <x:c r="F68" s="32" t="str">
        <x:v>Self-report</x:v>
      </x:c>
      <x:c r="G68" s="32" t="str">
        <x:v>C03 — Communication</x:v>
      </x:c>
      <x:c r="H68" s="32" t="str">
        <x:v>C05 — Problem-Solving</x:v>
      </x:c>
      <x:c r="I68" s="32" t="str">
        <x:v>A. Almost never
B. Rarely
C. Sometimes
D. Often
E. Almost always</x:v>
      </x:c>
      <x:c r="J68" s="32" t="str">
        <x:v>Not scored; profile/context only</x:v>
      </x:c>
      <x:c r="K68" s="45" t="n">
        <x:v>4</x:v>
      </x:c>
      <x:c r="L68" s="45" t="str">
        <x:v>Yes</x:v>
      </x:c>
      <x:c r="M68" s="32" t="str"/>
    </x:row>
    <x:row r="69" ht="92" customHeight="1">
      <x:c r="A69" s="28" t="str">
        <x:v>S005</x:v>
      </x:c>
      <x:c r="B69" s="44" t="n">
        <x:v>65</x:v>
      </x:c>
      <x:c r="C69" s="28" t="str">
        <x:v>Work Style &amp; Adaptability</x:v>
      </x:c>
      <x:c r="D69" s="28" t="str">
        <x:v>I continue using my first idea even when evidence shows it is not working.</x:v>
      </x:c>
      <x:c r="E69" s="28" t="str">
        <x:v>Single select</x:v>
      </x:c>
      <x:c r="F69" s="28" t="str">
        <x:v>Self-report</x:v>
      </x:c>
      <x:c r="G69" s="28" t="str">
        <x:v>C09 — Initiative, Creativity and Adaptability</x:v>
      </x:c>
      <x:c r="H69" s="28" t="str">
        <x:v>C05 — Problem-Solving</x:v>
      </x:c>
      <x:c r="I69" s="28" t="str">
        <x:v>A. Almost never
B. Rarely
C. Sometimes
D. Often
E. Almost always</x:v>
      </x:c>
      <x:c r="J69" s="28" t="str">
        <x:v>Not scored; profile/context only</x:v>
      </x:c>
      <x:c r="K69" s="44" t="n">
        <x:v>4</x:v>
      </x:c>
      <x:c r="L69" s="44" t="str">
        <x:v>Yes</x:v>
      </x:c>
      <x:c r="M69" s="28" t="str"/>
    </x:row>
    <x:row r="70" ht="92" customHeight="1">
      <x:c r="A70" s="32" t="str">
        <x:v>S006</x:v>
      </x:c>
      <x:c r="B70" s="45" t="n">
        <x:v>66</x:v>
      </x:c>
      <x:c r="C70" s="32" t="str">
        <x:v>Work Style &amp; Adaptability</x:v>
      </x:c>
      <x:c r="D70" s="32" t="str">
        <x:v>I take ownership of agreed tasks without needing repeated reminders.</x:v>
      </x:c>
      <x:c r="E70" s="32" t="str">
        <x:v>Single select</x:v>
      </x:c>
      <x:c r="F70" s="32" t="str">
        <x:v>Self-report</x:v>
      </x:c>
      <x:c r="G70" s="32" t="str">
        <x:v>C09 — Initiative, Creativity and Adaptability</x:v>
      </x:c>
      <x:c r="H70" s="32" t="str">
        <x:v>C07 — Leadership and Decision-Making</x:v>
      </x:c>
      <x:c r="I70" s="32" t="str">
        <x:v>A. Almost never
B. Rarely
C. Sometimes
D. Often
E. Almost always</x:v>
      </x:c>
      <x:c r="J70" s="32" t="str">
        <x:v>Not scored; profile/context only</x:v>
      </x:c>
      <x:c r="K70" s="45" t="n">
        <x:v>4</x:v>
      </x:c>
      <x:c r="L70" s="45" t="str">
        <x:v>Yes</x:v>
      </x:c>
      <x:c r="M70" s="32" t="str"/>
    </x:row>
    <x:row r="71" ht="92" customHeight="1">
      <x:c r="A71" s="28" t="str">
        <x:v>S007</x:v>
      </x:c>
      <x:c r="B71" s="44" t="n">
        <x:v>67</x:v>
      </x:c>
      <x:c r="C71" s="28" t="str">
        <x:v>Work Style &amp; Adaptability</x:v>
      </x:c>
      <x:c r="D71" s="28" t="str">
        <x:v>I remain calm and useful when plans change unexpectedly.</x:v>
      </x:c>
      <x:c r="E71" s="28" t="str">
        <x:v>Single select</x:v>
      </x:c>
      <x:c r="F71" s="28" t="str">
        <x:v>Self-report</x:v>
      </x:c>
      <x:c r="G71" s="28" t="str">
        <x:v>C08 — Conflict Management and Emotional Regulation</x:v>
      </x:c>
      <x:c r="H71" s="28" t="str">
        <x:v>C09 — Initiative, Creativity and Adaptability</x:v>
      </x:c>
      <x:c r="I71" s="28" t="str">
        <x:v>A. Almost never
B. Rarely
C. Sometimes
D. Often
E. Almost always</x:v>
      </x:c>
      <x:c r="J71" s="28" t="str">
        <x:v>Not scored; profile/context only</x:v>
      </x:c>
      <x:c r="K71" s="44" t="n">
        <x:v>4</x:v>
      </x:c>
      <x:c r="L71" s="44" t="str">
        <x:v>Yes</x:v>
      </x:c>
      <x:c r="M71" s="28" t="str"/>
    </x:row>
    <x:row r="72" ht="92" customHeight="1">
      <x:c r="A72" s="32" t="str">
        <x:v>S008</x:v>
      </x:c>
      <x:c r="B72" s="45" t="n">
        <x:v>68</x:v>
      </x:c>
      <x:c r="C72" s="32" t="str">
        <x:v>Work Style &amp; Adaptability</x:v>
      </x:c>
      <x:c r="D72" s="32" t="str">
        <x:v>I seek useful feedback and apply it to improve my work.</x:v>
      </x:c>
      <x:c r="E72" s="32" t="str">
        <x:v>Single select</x:v>
      </x:c>
      <x:c r="F72" s="32" t="str">
        <x:v>Self-report</x:v>
      </x:c>
      <x:c r="G72" s="32" t="str">
        <x:v>C09 — Initiative, Creativity and Adaptability</x:v>
      </x:c>
      <x:c r="H72" s="32" t="str">
        <x:v>C03 — Communication</x:v>
      </x:c>
      <x:c r="I72" s="32" t="str">
        <x:v>A. Almost never
B. Rarely
C. Sometimes
D. Often
E. Almost always</x:v>
      </x:c>
      <x:c r="J72" s="32" t="str">
        <x:v>Not scored; profile/context only</x:v>
      </x:c>
      <x:c r="K72" s="45" t="n">
        <x:v>4</x:v>
      </x:c>
      <x:c r="L72" s="45" t="str">
        <x:v>Yes</x:v>
      </x:c>
      <x:c r="M72" s="32" t="str"/>
    </x:row>
    <x:row r="73" ht="92" customHeight="1">
      <x:c r="A73" s="28" t="str">
        <x:v>S009</x:v>
      </x:c>
      <x:c r="B73" s="44" t="n">
        <x:v>69</x:v>
      </x:c>
      <x:c r="C73" s="28" t="str">
        <x:v>Work Style &amp; Adaptability</x:v>
      </x:c>
      <x:c r="D73" s="28" t="str">
        <x:v>I avoid difficult conversations even when the issue is affecting the team.</x:v>
      </x:c>
      <x:c r="E73" s="28" t="str">
        <x:v>Single select</x:v>
      </x:c>
      <x:c r="F73" s="28" t="str">
        <x:v>Self-report</x:v>
      </x:c>
      <x:c r="G73" s="28" t="str">
        <x:v>C08 — Conflict Management and Emotional Regulation</x:v>
      </x:c>
      <x:c r="H73" s="28" t="str">
        <x:v>C03 — Communication</x:v>
      </x:c>
      <x:c r="I73" s="28" t="str">
        <x:v>A. Almost never
B. Rarely
C. Sometimes
D. Often
E. Almost always</x:v>
      </x:c>
      <x:c r="J73" s="28" t="str">
        <x:v>Not scored; profile/context only</x:v>
      </x:c>
      <x:c r="K73" s="44" t="n">
        <x:v>4</x:v>
      </x:c>
      <x:c r="L73" s="44" t="str">
        <x:v>Yes</x:v>
      </x:c>
      <x:c r="M73" s="28" t="str"/>
    </x:row>
    <x:row r="74" ht="92" customHeight="1">
      <x:c r="A74" s="32" t="str">
        <x:v>S010</x:v>
      </x:c>
      <x:c r="B74" s="45" t="n">
        <x:v>70</x:v>
      </x:c>
      <x:c r="C74" s="32" t="str">
        <x:v>Work Style &amp; Adaptability</x:v>
      </x:c>
      <x:c r="D74" s="32" t="str">
        <x:v>I enjoy identifying a better way to complete a repeated process.</x:v>
      </x:c>
      <x:c r="E74" s="32" t="str">
        <x:v>Single select</x:v>
      </x:c>
      <x:c r="F74" s="32" t="str">
        <x:v>Self-report</x:v>
      </x:c>
      <x:c r="G74" s="32" t="str">
        <x:v>C09 — Initiative, Creativity and Adaptability</x:v>
      </x:c>
      <x:c r="H74" s="32" t="str">
        <x:v>C05 — Problem-Solving</x:v>
      </x:c>
      <x:c r="I74" s="32" t="str">
        <x:v>A. Almost never
B. Rarely
C. Sometimes
D. Often
E. Almost always</x:v>
      </x:c>
      <x:c r="J74" s="32" t="str">
        <x:v>Not scored; profile/context only</x:v>
      </x:c>
      <x:c r="K74" s="45" t="n">
        <x:v>4</x:v>
      </x:c>
      <x:c r="L74" s="45" t="str">
        <x:v>Yes</x:v>
      </x:c>
      <x:c r="M74" s="32" t="str"/>
    </x:row>
    <x:row r="75" ht="92" customHeight="1">
      <x:c r="A75" s="28" t="str">
        <x:v>S011</x:v>
      </x:c>
      <x:c r="B75" s="44" t="n">
        <x:v>71</x:v>
      </x:c>
      <x:c r="C75" s="28" t="str">
        <x:v>Work Style &amp; Adaptability</x:v>
      </x:c>
      <x:c r="D75" s="28" t="str">
        <x:v>I keep records, commitments and deadlines up to date.</x:v>
      </x:c>
      <x:c r="E75" s="28" t="str">
        <x:v>Single select</x:v>
      </x:c>
      <x:c r="F75" s="28" t="str">
        <x:v>Self-report</x:v>
      </x:c>
      <x:c r="G75" s="28" t="str">
        <x:v>C04 — Organisation and Attention to Detail</x:v>
      </x:c>
      <x:c r="H75" s="28" t="str">
        <x:v>C07 — Leadership and Decision-Making</x:v>
      </x:c>
      <x:c r="I75" s="28" t="str">
        <x:v>A. Almost never
B. Rarely
C. Sometimes
D. Often
E. Almost always</x:v>
      </x:c>
      <x:c r="J75" s="28" t="str">
        <x:v>Not scored; profile/context only</x:v>
      </x:c>
      <x:c r="K75" s="44" t="n">
        <x:v>4</x:v>
      </x:c>
      <x:c r="L75" s="44" t="str">
        <x:v>Yes</x:v>
      </x:c>
      <x:c r="M75" s="28" t="str"/>
    </x:row>
    <x:row r="76" ht="92" customHeight="1">
      <x:c r="A76" s="32" t="str">
        <x:v>S012</x:v>
      </x:c>
      <x:c r="B76" s="45" t="n">
        <x:v>72</x:v>
      </x:c>
      <x:c r="C76" s="32" t="str">
        <x:v>Work Style &amp; Adaptability</x:v>
      </x:c>
      <x:c r="D76" s="32" t="str">
        <x:v>When I make a mistake, I acknowledge it and take corrective action.</x:v>
      </x:c>
      <x:c r="E76" s="32" t="str">
        <x:v>Single select</x:v>
      </x:c>
      <x:c r="F76" s="32" t="str">
        <x:v>Self-report</x:v>
      </x:c>
      <x:c r="G76" s="32" t="str">
        <x:v>C07 — Leadership and Decision-Making</x:v>
      </x:c>
      <x:c r="H76" s="32" t="str">
        <x:v>C08 — Conflict Management and Emotional Regulation</x:v>
      </x:c>
      <x:c r="I76" s="32" t="str">
        <x:v>A. Almost never
B. Rarely
C. Sometimes
D. Often
E. Almost always</x:v>
      </x:c>
      <x:c r="J76" s="32" t="str">
        <x:v>Not scored; profile/context only</x:v>
      </x:c>
      <x:c r="K76" s="45" t="n">
        <x:v>4</x:v>
      </x:c>
      <x:c r="L76" s="45" t="str">
        <x:v>Yes</x:v>
      </x:c>
      <x:c r="M76" s="32" t="str"/>
    </x:row>
    <x:row r="77" ht="92" customHeight="1">
      <x:c r="A77" s="28" t="str">
        <x:v>I001</x:v>
      </x:c>
      <x:c r="B77" s="44" t="n">
        <x:v>73</x:v>
      </x:c>
      <x:c r="C77" s="28" t="str">
        <x:v>Career Interests</x:v>
      </x:c>
      <x:c r="D77" s="28" t="str">
        <x:v>Which activity would you most prefer to do?</x:v>
      </x:c>
      <x:c r="E77" s="28" t="str">
        <x:v>Single select</x:v>
      </x:c>
      <x:c r="F77" s="28" t="str">
        <x:v>Interest</x:v>
      </x:c>
      <x:c r="G77" s="28" t="str"/>
      <x:c r="H77" s="28" t="str"/>
      <x:c r="I77" s="28" t="str">
        <x:v>A. Organise records, schedules and routine office processes
B. Check invoices, budgets and transaction records
C. Analyse spreadsheet information for patterns
D. Resolve a computer or system problem</x:v>
      </x:c>
      <x:c r="J77" s="28" t="str">
        <x:v>A→AO +4 | B→FA +4 | C→DA +4 | D→IT +4</x:v>
      </x:c>
      <x:c r="K77" s="44" t="n">
        <x:v>0</x:v>
      </x:c>
      <x:c r="L77" s="44" t="str">
        <x:v>Yes</x:v>
      </x:c>
      <x:c r="M77" s="28" t="str"/>
    </x:row>
    <x:row r="78" ht="92" customHeight="1">
      <x:c r="A78" s="32" t="str">
        <x:v>I002</x:v>
      </x:c>
      <x:c r="B78" s="45" t="n">
        <x:v>74</x:v>
      </x:c>
      <x:c r="C78" s="32" t="str">
        <x:v>Career Interests</x:v>
      </x:c>
      <x:c r="D78" s="32" t="str">
        <x:v>Which activity sounds most appealing?</x:v>
      </x:c>
      <x:c r="E78" s="32" t="str">
        <x:v>Single select</x:v>
      </x:c>
      <x:c r="F78" s="32" t="str">
        <x:v>Interest</x:v>
      </x:c>
      <x:c r="G78" s="32" t="str"/>
      <x:c r="H78" s="32" t="str"/>
      <x:c r="I78" s="32" t="str">
        <x:v>A. Create a campaign or communication message
B. Help a customer choose or resolve a service issue
C. Coordinate project tasks and deadlines
D. Support recruitment, onboarding or training</x:v>
      </x:c>
      <x:c r="J78" s="32" t="str">
        <x:v>A→MC +4 | B→SC +4 | C→PC +4 | D→HR +4</x:v>
      </x:c>
      <x:c r="K78" s="45" t="n">
        <x:v>0</x:v>
      </x:c>
      <x:c r="L78" s="45" t="str">
        <x:v>Yes</x:v>
      </x:c>
      <x:c r="M78" s="32" t="str"/>
    </x:row>
    <x:row r="79" ht="92" customHeight="1">
      <x:c r="A79" s="28" t="str">
        <x:v>I003</x:v>
      </x:c>
      <x:c r="B79" s="44" t="n">
        <x:v>75</x:v>
      </x:c>
      <x:c r="C79" s="28" t="str">
        <x:v>Career Interests</x:v>
      </x:c>
      <x:c r="D79" s="28" t="str">
        <x:v>Which responsibility would you prefer?</x:v>
      </x:c>
      <x:c r="E79" s="28" t="str">
        <x:v>Single select</x:v>
      </x:c>
      <x:c r="F79" s="28" t="str">
        <x:v>Interest</x:v>
      </x:c>
      <x:c r="G79" s="28" t="str"/>
      <x:c r="H79" s="28" t="str"/>
      <x:c r="I79" s="28" t="str">
        <x:v>A. Research and approach a potential partner
B. Test whether a business idea can earn sustainable income
C. Guide a team and hold people accountable
D. Install, maintain or repair equipment</x:v>
      </x:c>
      <x:c r="J79" s="28" t="str">
        <x:v>A→BD +4 | B→EN +4 | C→LS +4 | D→PT +4</x:v>
      </x:c>
      <x:c r="K79" s="44" t="n">
        <x:v>0</x:v>
      </x:c>
      <x:c r="L79" s="44" t="str">
        <x:v>Yes</x:v>
      </x:c>
      <x:c r="M79" s="28" t="str"/>
    </x:row>
    <x:row r="80" ht="92" customHeight="1">
      <x:c r="A80" s="32" t="str">
        <x:v>I004</x:v>
      </x:c>
      <x:c r="B80" s="45" t="n">
        <x:v>76</x:v>
      </x:c>
      <x:c r="C80" s="32" t="str">
        <x:v>Career Interests</x:v>
      </x:c>
      <x:c r="D80" s="32" t="str">
        <x:v>Which task would you choose first?</x:v>
      </x:c>
      <x:c r="E80" s="32" t="str">
        <x:v>Single select</x:v>
      </x:c>
      <x:c r="F80" s="32" t="str">
        <x:v>Interest</x:v>
      </x:c>
      <x:c r="G80" s="32" t="str"/>
      <x:c r="H80" s="32" t="str"/>
      <x:c r="I80" s="32" t="str">
        <x:v>A. Improve an office filing or scheduling process
B. Write and publish a social media update
C. Prepare a proposal for a new client or partner
D. Decide how to price and sell a new service</x:v>
      </x:c>
      <x:c r="J80" s="32" t="str">
        <x:v>A→AO +4 | B→MC +4 | C→BD +4 | D→EN +4</x:v>
      </x:c>
      <x:c r="K80" s="45" t="n">
        <x:v>0</x:v>
      </x:c>
      <x:c r="L80" s="45" t="str">
        <x:v>Yes</x:v>
      </x:c>
      <x:c r="M80" s="32" t="str"/>
    </x:row>
    <x:row r="81" ht="92" customHeight="1">
      <x:c r="A81" s="28" t="str">
        <x:v>I005</x:v>
      </x:c>
      <x:c r="B81" s="44" t="n">
        <x:v>77</x:v>
      </x:c>
      <x:c r="C81" s="28" t="str">
        <x:v>Career Interests</x:v>
      </x:c>
      <x:c r="D81" s="28" t="str">
        <x:v>Which work would you find most satisfying?</x:v>
      </x:c>
      <x:c r="E81" s="28" t="str">
        <x:v>Single select</x:v>
      </x:c>
      <x:c r="F81" s="28" t="str">
        <x:v>Interest</x:v>
      </x:c>
      <x:c r="G81" s="28" t="str"/>
      <x:c r="H81" s="28" t="str"/>
      <x:c r="I81" s="28" t="str">
        <x:v>A. Reconcile transactions and find a financial difference
B. Follow up leads and help close a sale
C. Help resolve a people or workplace issue
D. Allocate work and coach a team toward a target</x:v>
      </x:c>
      <x:c r="J81" s="28" t="str">
        <x:v>A→FA +4 | B→SC +4 | C→HR +4 | D→LS +4</x:v>
      </x:c>
      <x:c r="K81" s="44" t="n">
        <x:v>0</x:v>
      </x:c>
      <x:c r="L81" s="44" t="str">
        <x:v>Yes</x:v>
      </x:c>
      <x:c r="M81" s="28" t="str"/>
    </x:row>
    <x:row r="82" ht="92" customHeight="1">
      <x:c r="A82" s="32" t="str">
        <x:v>I006</x:v>
      </x:c>
      <x:c r="B82" s="45" t="n">
        <x:v>78</x:v>
      </x:c>
      <x:c r="C82" s="32" t="str">
        <x:v>Career Interests</x:v>
      </x:c>
      <x:c r="D82" s="32" t="str">
        <x:v>Which activity would you most enjoy learning?</x:v>
      </x:c>
      <x:c r="E82" s="32" t="str">
        <x:v>Single select</x:v>
      </x:c>
      <x:c r="F82" s="32" t="str">
        <x:v>Interest</x:v>
      </x:c>
      <x:c r="G82" s="32" t="str"/>
      <x:c r="H82" s="32" t="str"/>
      <x:c r="I82" s="32" t="str">
        <x:v>A. Clean data and build a performance report
B. Configure a device or user account
C. Track project milestones and risks
D. Use tools to complete a technical installation</x:v>
      </x:c>
      <x:c r="J82" s="32" t="str">
        <x:v>A→DA +4 | B→IT +4 | C→PC +4 | D→PT +4</x:v>
      </x:c>
      <x:c r="K82" s="45" t="n">
        <x:v>0</x:v>
      </x:c>
      <x:c r="L82" s="45" t="str">
        <x:v>Yes</x:v>
      </x:c>
      <x:c r="M82" s="32" t="str"/>
    </x:row>
    <x:row r="83" ht="92" customHeight="1">
      <x:c r="A83" s="28" t="str">
        <x:v>I007</x:v>
      </x:c>
      <x:c r="B83" s="44" t="n">
        <x:v>79</x:v>
      </x:c>
      <x:c r="C83" s="28" t="str">
        <x:v>Career Interests</x:v>
      </x:c>
      <x:c r="D83" s="28" t="str">
        <x:v>Which daily responsibility would suit you best?</x:v>
      </x:c>
      <x:c r="E83" s="28" t="str">
        <x:v>Single select</x:v>
      </x:c>
      <x:c r="F83" s="28" t="str">
        <x:v>Interest</x:v>
      </x:c>
      <x:c r="G83" s="28" t="str"/>
      <x:c r="H83" s="28" t="str"/>
      <x:c r="I83" s="28" t="str">
        <x:v>A. Maintain accurate documents and schedules
B. Resolve customer complaints and queries
C. Organise an event or multi-step project
D. Supervise a shift or small team</x:v>
      </x:c>
      <x:c r="J83" s="28" t="str">
        <x:v>A→AO +4 | B→SC +4 | C→PC +4 | D→LS +4</x:v>
      </x:c>
      <x:c r="K83" s="44" t="n">
        <x:v>0</x:v>
      </x:c>
      <x:c r="L83" s="44" t="str">
        <x:v>Yes</x:v>
      </x:c>
      <x:c r="M83" s="28" t="str"/>
    </x:row>
    <x:row r="84" ht="92" customHeight="1">
      <x:c r="A84" s="32" t="str">
        <x:v>I008</x:v>
      </x:c>
      <x:c r="B84" s="45" t="n">
        <x:v>80</x:v>
      </x:c>
      <x:c r="C84" s="32" t="str">
        <x:v>Career Interests</x:v>
      </x:c>
      <x:c r="D84" s="32" t="str">
        <x:v>Which result would you most like to produce?</x:v>
      </x:c>
      <x:c r="E84" s="32" t="str">
        <x:v>Single select</x:v>
      </x:c>
      <x:c r="F84" s="32" t="str">
        <x:v>Interest</x:v>
      </x:c>
      <x:c r="G84" s="32" t="str"/>
      <x:c r="H84" s="32" t="str"/>
      <x:c r="I84" s="32" t="str">
        <x:v>A. A clear and accurate budget
B. A report that explains what the data shows
C. A smooth employee onboarding process
D. A paying customer for a new business idea</x:v>
      </x:c>
      <x:c r="J84" s="32" t="str">
        <x:v>A→FA +4 | B→DA +4 | C→HR +4 | D→EN +4</x:v>
      </x:c>
      <x:c r="K84" s="45" t="n">
        <x:v>0</x:v>
      </x:c>
      <x:c r="L84" s="45" t="str">
        <x:v>Yes</x:v>
      </x:c>
      <x:c r="M84" s="32" t="str"/>
    </x:row>
    <x:row r="85" ht="92" customHeight="1">
      <x:c r="A85" s="28" t="str">
        <x:v>I009</x:v>
      </x:c>
      <x:c r="B85" s="44" t="n">
        <x:v>81</x:v>
      </x:c>
      <x:c r="C85" s="28" t="str">
        <x:v>Career Interests</x:v>
      </x:c>
      <x:c r="D85" s="28" t="str">
        <x:v>Which problem would you prefer to solve?</x:v>
      </x:c>
      <x:c r="E85" s="28" t="str">
        <x:v>Single select</x:v>
      </x:c>
      <x:c r="F85" s="28" t="str">
        <x:v>Interest</x:v>
      </x:c>
      <x:c r="G85" s="28" t="str"/>
      <x:c r="H85" s="28" t="str"/>
      <x:c r="I85" s="28" t="str">
        <x:v>A. A user cannot access a system or network
B. An audience is not engaging with a message
C. The organisation needs new markets or partnerships
D. A physical device or installation is not working</x:v>
      </x:c>
      <x:c r="J85" s="28" t="str">
        <x:v>A→IT +4 | B→MC +4 | C→BD +4 | D→PT +4</x:v>
      </x:c>
      <x:c r="K85" s="44" t="n">
        <x:v>0</x:v>
      </x:c>
      <x:c r="L85" s="44" t="str">
        <x:v>Yes</x:v>
      </x:c>
      <x:c r="M85" s="28" t="str"/>
    </x:row>
    <x:row r="86" ht="92" customHeight="1">
      <x:c r="A86" s="32" t="str">
        <x:v>I010</x:v>
      </x:c>
      <x:c r="B86" s="45" t="n">
        <x:v>82</x:v>
      </x:c>
      <x:c r="C86" s="32" t="str">
        <x:v>Career Interests</x:v>
      </x:c>
      <x:c r="D86" s="32" t="str">
        <x:v>Which task sounds most natural to you?</x:v>
      </x:c>
      <x:c r="E86" s="32" t="str">
        <x:v>Single select</x:v>
      </x:c>
      <x:c r="F86" s="32" t="str">
        <x:v>Interest</x:v>
      </x:c>
      <x:c r="G86" s="32" t="str"/>
      <x:c r="H86" s="32" t="str"/>
      <x:c r="I86" s="32" t="str">
        <x:v>A. Create a checklist and organise records
B. Compare performance information and identify trends
C. Develop a content calendar
D. Plan staff development or support</x:v>
      </x:c>
      <x:c r="J86" s="32" t="str">
        <x:v>A→AO +4 | B→DA +4 | C→MC +4 | D→HR +4</x:v>
      </x:c>
      <x:c r="K86" s="45" t="n">
        <x:v>0</x:v>
      </x:c>
      <x:c r="L86" s="45" t="str">
        <x:v>Yes</x:v>
      </x:c>
      <x:c r="M86" s="32" t="str"/>
    </x:row>
    <x:row r="87" ht="92" customHeight="1">
      <x:c r="A87" s="28" t="str">
        <x:v>I011</x:v>
      </x:c>
      <x:c r="B87" s="44" t="n">
        <x:v>83</x:v>
      </x:c>
      <x:c r="C87" s="28" t="str">
        <x:v>Career Interests</x:v>
      </x:c>
      <x:c r="D87" s="28" t="str">
        <x:v>Which activity would you most prefer?</x:v>
      </x:c>
      <x:c r="E87" s="28" t="str">
        <x:v>Single select</x:v>
      </x:c>
      <x:c r="F87" s="28" t="str">
        <x:v>Interest</x:v>
      </x:c>
      <x:c r="G87" s="28" t="str"/>
      <x:c r="H87" s="28" t="str"/>
      <x:c r="I87" s="28" t="str">
        <x:v>A. Check costs and payment records
B. Support users with technology
C. Negotiate a sale or service solution
D. Write a partnership or client pitch</x:v>
      </x:c>
      <x:c r="J87" s="28" t="str">
        <x:v>A→FA +4 | B→IT +4 | C→SC +4 | D→BD +4</x:v>
      </x:c>
      <x:c r="K87" s="44" t="n">
        <x:v>0</x:v>
      </x:c>
      <x:c r="L87" s="44" t="str">
        <x:v>Yes</x:v>
      </x:c>
      <x:c r="M87" s="28" t="str"/>
    </x:row>
    <x:row r="88" ht="92" customHeight="1">
      <x:c r="A88" s="32" t="str">
        <x:v>I012</x:v>
      </x:c>
      <x:c r="B88" s="45" t="n">
        <x:v>84</x:v>
      </x:c>
      <x:c r="C88" s="32" t="str">
        <x:v>Career Interests</x:v>
      </x:c>
      <x:c r="D88" s="32" t="str">
        <x:v>Which outcome would motivate you most?</x:v>
      </x:c>
      <x:c r="E88" s="32" t="str">
        <x:v>Single select</x:v>
      </x:c>
      <x:c r="F88" s="32" t="str">
        <x:v>Interest</x:v>
      </x:c>
      <x:c r="G88" s="32" t="str"/>
      <x:c r="H88" s="32" t="str"/>
      <x:c r="I88" s="32" t="str">
        <x:v>A. A team meets coordinated deadlines
B. A business model becomes financially viable
C. A team member improves through coaching
D. A practical installation works correctly and safely</x:v>
      </x:c>
      <x:c r="J88" s="32" t="str">
        <x:v>A→PC +4 | B→EN +4 | C→LS +4 | D→PT +4</x:v>
      </x:c>
      <x:c r="K88" s="45" t="n">
        <x:v>0</x:v>
      </x:c>
      <x:c r="L88" s="45" t="str">
        <x:v>Yes</x:v>
      </x:c>
      <x:c r="M88" s="32" t="str"/>
    </x:row>
  </x:sheetData>
  <x:mergeCells>
    <x:mergeCell ref="A1:M1"/>
    <x:mergeCell ref="A2:M2"/>
  </x:mergeCells>
  <x:conditionalFormatting sqref="F5:F88">
    <x:cfRule type="expression" dxfId="1" priority="1">
      <x:formula>F5="Objective"</x:formula>
    </x:cfRule>
    <x:cfRule type="expression" dxfId="2" priority="2">
      <x:formula>F5="Judgement"</x:formula>
    </x:cfRule>
    <x:cfRule type="expression" dxfId="3" priority="3">
      <x:formula>F5="Interest"</x:formula>
    </x:cfRule>
  </x:conditionalFormatting>
  <x:pageMargins left="0.7" right="0.7" top="0.75" bottom="0.75" header="0.3" footer="0.3"/>
  <x:tableParts count="1">
    <x:tablePart xmlns:r="http://schemas.openxmlformats.org/officeDocument/2006/relationships" r:id="R7dc93deef0674205"/>
  </x:tableParts>
</x:worksheet>
</file>